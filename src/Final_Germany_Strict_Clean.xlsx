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CLEANED_DATA" sheetId="1" state="visible" r:id="rId1"/>
    <sheet name="Accrued_BASE1" sheetId="2" state="visible" r:id="rId2"/>
    <sheet name="Accrued_BASE2" sheetId="3" state="visible" r:id="rId3"/>
    <sheet name="Paid_BASE1" sheetId="4" state="visible" r:id="rId4"/>
    <sheet name="Paid_BASE2" sheetId="5" state="visible" r:id="rId5"/>
    <sheet name="Regression_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mnc</t>
        </is>
      </c>
      <c r="B1" s="1" t="inlineStr">
        <is>
          <t>year</t>
        </is>
      </c>
      <c r="C1" s="1" t="inlineStr">
        <is>
          <t>sector</t>
        </is>
      </c>
      <c r="D1" s="1" t="inlineStr">
        <is>
          <t>upe_code</t>
        </is>
      </c>
      <c r="E1" s="1" t="inlineStr">
        <is>
          <t>upe_name</t>
        </is>
      </c>
      <c r="F1" s="1" t="inlineStr">
        <is>
          <t>jur_code</t>
        </is>
      </c>
      <c r="G1" s="1" t="inlineStr">
        <is>
          <t>jur_name</t>
        </is>
      </c>
      <c r="H1" s="1" t="inlineStr">
        <is>
          <t>total_revenues</t>
        </is>
      </c>
      <c r="I1" s="1" t="inlineStr">
        <is>
          <t>profit_before_tax</t>
        </is>
      </c>
      <c r="J1" s="1" t="inlineStr">
        <is>
          <t>tax_paid</t>
        </is>
      </c>
      <c r="K1" s="1" t="inlineStr">
        <is>
          <t>employees</t>
        </is>
      </c>
      <c r="L1" s="1" t="inlineStr">
        <is>
          <t>tangible_assets</t>
        </is>
      </c>
      <c r="M1" s="1" t="inlineStr">
        <is>
          <t>tax_accrued</t>
        </is>
      </c>
      <c r="N1" s="1" t="inlineStr">
        <is>
          <t>stated_capital</t>
        </is>
      </c>
      <c r="O1" s="1" t="inlineStr">
        <is>
          <t>accumulated_earnings</t>
        </is>
      </c>
      <c r="P1" s="1" t="inlineStr">
        <is>
          <t>currency</t>
        </is>
      </c>
    </row>
    <row r="2">
      <c r="A2" t="inlineStr">
        <is>
          <t>ALLIANZ</t>
        </is>
      </c>
      <c r="B2" t="n">
        <v>2021</v>
      </c>
      <c r="C2" t="inlineStr">
        <is>
          <t>Business and Financial Services</t>
        </is>
      </c>
      <c r="D2" t="inlineStr">
        <is>
          <t>DEU</t>
        </is>
      </c>
      <c r="E2" t="inlineStr">
        <is>
          <t>Germany</t>
        </is>
      </c>
      <c r="F2" t="inlineStr">
        <is>
          <t>DEU</t>
        </is>
      </c>
      <c r="G2" t="inlineStr">
        <is>
          <t>Germany</t>
        </is>
      </c>
      <c r="H2" t="n">
        <v>54357000000</v>
      </c>
      <c r="I2" t="n">
        <v>2128500000</v>
      </c>
      <c r="J2" t="n">
        <v>735700000</v>
      </c>
      <c r="K2" t="n">
        <v>46081</v>
      </c>
      <c r="L2" t="n">
        <v>5143300000</v>
      </c>
      <c r="M2" t="n">
        <v>513500000</v>
      </c>
      <c r="N2" t="inlineStr"/>
      <c r="O2" t="inlineStr"/>
      <c r="P2" t="inlineStr">
        <is>
          <t>EUR</t>
        </is>
      </c>
    </row>
    <row r="3">
      <c r="A3" t="inlineStr">
        <is>
          <t>ALLIANZ</t>
        </is>
      </c>
      <c r="B3" t="n">
        <v>2021</v>
      </c>
      <c r="C3" t="inlineStr">
        <is>
          <t>Business and Financial Services</t>
        </is>
      </c>
      <c r="D3" t="inlineStr">
        <is>
          <t>DEU</t>
        </is>
      </c>
      <c r="E3" t="inlineStr">
        <is>
          <t>Germany</t>
        </is>
      </c>
      <c r="F3" t="inlineStr">
        <is>
          <t>USA</t>
        </is>
      </c>
      <c r="G3" t="inlineStr">
        <is>
          <t>United States of America</t>
        </is>
      </c>
      <c r="H3" t="n">
        <v>18415900000</v>
      </c>
      <c r="I3" t="n">
        <v>883800000</v>
      </c>
      <c r="J3" t="n">
        <v>980400000</v>
      </c>
      <c r="K3" t="n">
        <v>7926</v>
      </c>
      <c r="L3" t="n">
        <v>2060600000</v>
      </c>
      <c r="M3" t="n">
        <v>1648700000</v>
      </c>
      <c r="N3" t="inlineStr"/>
      <c r="O3" t="inlineStr"/>
      <c r="P3" t="inlineStr">
        <is>
          <t>EUR</t>
        </is>
      </c>
    </row>
    <row r="4">
      <c r="A4" t="inlineStr">
        <is>
          <t>ALLIANZ</t>
        </is>
      </c>
      <c r="B4" t="n">
        <v>2021</v>
      </c>
      <c r="C4" t="inlineStr">
        <is>
          <t>Business and Financial Services</t>
        </is>
      </c>
      <c r="D4" t="inlineStr">
        <is>
          <t>DEU</t>
        </is>
      </c>
      <c r="E4" t="inlineStr">
        <is>
          <t>Germany</t>
        </is>
      </c>
      <c r="F4" t="inlineStr">
        <is>
          <t>FRA</t>
        </is>
      </c>
      <c r="G4" t="inlineStr">
        <is>
          <t>France</t>
        </is>
      </c>
      <c r="H4" t="n">
        <v>14235800000</v>
      </c>
      <c r="I4" t="n">
        <v>753100000</v>
      </c>
      <c r="J4" t="n">
        <v>203200000</v>
      </c>
      <c r="K4" t="n">
        <v>26239</v>
      </c>
      <c r="L4" t="n">
        <v>4382100000</v>
      </c>
      <c r="M4" t="n">
        <v>184300000</v>
      </c>
      <c r="N4" t="inlineStr"/>
      <c r="O4" t="inlineStr"/>
      <c r="P4" t="inlineStr">
        <is>
          <t>EUR</t>
        </is>
      </c>
    </row>
    <row r="5">
      <c r="A5" t="inlineStr">
        <is>
          <t>ALLIANZ</t>
        </is>
      </c>
      <c r="B5" t="n">
        <v>2021</v>
      </c>
      <c r="C5" t="inlineStr">
        <is>
          <t>Business and Financial Services</t>
        </is>
      </c>
      <c r="D5" t="inlineStr">
        <is>
          <t>DEU</t>
        </is>
      </c>
      <c r="E5" t="inlineStr">
        <is>
          <t>Germany</t>
        </is>
      </c>
      <c r="F5" t="inlineStr">
        <is>
          <t>ITA</t>
        </is>
      </c>
      <c r="G5" t="inlineStr">
        <is>
          <t>Italy</t>
        </is>
      </c>
      <c r="H5" t="n">
        <v>6365000000</v>
      </c>
      <c r="I5" t="n">
        <v>810000000</v>
      </c>
      <c r="J5" t="n">
        <v>245800000</v>
      </c>
      <c r="K5" t="n">
        <v>4876</v>
      </c>
      <c r="L5" t="n">
        <v>1230300000</v>
      </c>
      <c r="M5" t="n">
        <v>218100000</v>
      </c>
      <c r="N5" t="inlineStr"/>
      <c r="O5" t="inlineStr"/>
      <c r="P5" t="inlineStr">
        <is>
          <t>EUR</t>
        </is>
      </c>
    </row>
    <row r="6">
      <c r="A6" t="inlineStr">
        <is>
          <t>ALLIANZ</t>
        </is>
      </c>
      <c r="B6" t="n">
        <v>2021</v>
      </c>
      <c r="C6" t="inlineStr">
        <is>
          <t>Business and Financial Services</t>
        </is>
      </c>
      <c r="D6" t="inlineStr">
        <is>
          <t>DEU</t>
        </is>
      </c>
      <c r="E6" t="inlineStr">
        <is>
          <t>Germany</t>
        </is>
      </c>
      <c r="F6" t="inlineStr">
        <is>
          <t>IRL</t>
        </is>
      </c>
      <c r="G6" t="inlineStr">
        <is>
          <t>Ireland</t>
        </is>
      </c>
      <c r="H6" t="n">
        <v>5041400000</v>
      </c>
      <c r="I6" t="n">
        <v>361700000</v>
      </c>
      <c r="J6" t="n">
        <v>60500000</v>
      </c>
      <c r="K6" t="n">
        <v>854</v>
      </c>
      <c r="L6" t="n">
        <v>13400000</v>
      </c>
      <c r="M6" t="n">
        <v>62800000</v>
      </c>
      <c r="N6" t="inlineStr"/>
      <c r="O6" t="inlineStr"/>
      <c r="P6" t="inlineStr">
        <is>
          <t>EUR</t>
        </is>
      </c>
    </row>
    <row r="7">
      <c r="A7" t="inlineStr">
        <is>
          <t>ALLIANZ</t>
        </is>
      </c>
      <c r="B7" t="n">
        <v>2021</v>
      </c>
      <c r="C7" t="inlineStr">
        <is>
          <t>Business and Financial Services</t>
        </is>
      </c>
      <c r="D7" t="inlineStr">
        <is>
          <t>DEU</t>
        </is>
      </c>
      <c r="E7" t="inlineStr">
        <is>
          <t>Germany</t>
        </is>
      </c>
      <c r="F7" t="inlineStr">
        <is>
          <t>CHE</t>
        </is>
      </c>
      <c r="G7" t="inlineStr">
        <is>
          <t>Switzerland</t>
        </is>
      </c>
      <c r="H7" t="n">
        <v>3804900000</v>
      </c>
      <c r="I7" t="n">
        <v>673300000</v>
      </c>
      <c r="J7" t="n">
        <v>77500000</v>
      </c>
      <c r="K7" t="n">
        <v>2824</v>
      </c>
      <c r="L7" t="n">
        <v>2903400000</v>
      </c>
      <c r="M7" t="n">
        <v>110800000</v>
      </c>
      <c r="N7" t="inlineStr"/>
      <c r="O7" t="inlineStr"/>
      <c r="P7" t="inlineStr">
        <is>
          <t>EUR</t>
        </is>
      </c>
    </row>
    <row r="8">
      <c r="A8" t="inlineStr">
        <is>
          <t>ALLIANZ</t>
        </is>
      </c>
      <c r="B8" t="n">
        <v>2021</v>
      </c>
      <c r="C8" t="inlineStr">
        <is>
          <t>Business and Financial Services</t>
        </is>
      </c>
      <c r="D8" t="inlineStr">
        <is>
          <t>DEU</t>
        </is>
      </c>
      <c r="E8" t="inlineStr">
        <is>
          <t>Germany</t>
        </is>
      </c>
      <c r="F8" t="inlineStr">
        <is>
          <t>GBR</t>
        </is>
      </c>
      <c r="G8" t="inlineStr">
        <is>
          <t>United Kingdom</t>
        </is>
      </c>
      <c r="H8" t="n">
        <v>3608200000</v>
      </c>
      <c r="I8" t="n">
        <v>149100000</v>
      </c>
      <c r="J8" t="n">
        <v>21600000</v>
      </c>
      <c r="K8" t="n">
        <v>8541</v>
      </c>
      <c r="L8" t="n">
        <v>568700000</v>
      </c>
      <c r="M8" t="n">
        <v>26900000</v>
      </c>
      <c r="N8" t="inlineStr"/>
      <c r="O8" t="inlineStr"/>
      <c r="P8" t="inlineStr">
        <is>
          <t>EUR</t>
        </is>
      </c>
    </row>
    <row r="9">
      <c r="A9" t="inlineStr">
        <is>
          <t>ALLIANZ</t>
        </is>
      </c>
      <c r="B9" t="n">
        <v>2021</v>
      </c>
      <c r="C9" t="inlineStr">
        <is>
          <t>Business and Financial Services</t>
        </is>
      </c>
      <c r="D9" t="inlineStr">
        <is>
          <t>DEU</t>
        </is>
      </c>
      <c r="E9" t="inlineStr">
        <is>
          <t>Germany</t>
        </is>
      </c>
      <c r="F9" t="inlineStr">
        <is>
          <t>AUS</t>
        </is>
      </c>
      <c r="G9" t="inlineStr">
        <is>
          <t>Australia</t>
        </is>
      </c>
      <c r="H9" t="n">
        <v>3474400000</v>
      </c>
      <c r="I9" t="n">
        <v>222800000</v>
      </c>
      <c r="J9" t="n">
        <v>-11400000</v>
      </c>
      <c r="K9" t="n">
        <v>5379</v>
      </c>
      <c r="L9" t="n">
        <v>10400000</v>
      </c>
      <c r="M9" t="n">
        <v>127700000</v>
      </c>
      <c r="N9" t="inlineStr"/>
      <c r="O9" t="inlineStr"/>
      <c r="P9" t="inlineStr">
        <is>
          <t>EUR</t>
        </is>
      </c>
    </row>
    <row r="10">
      <c r="A10" t="inlineStr">
        <is>
          <t>ALLIANZ</t>
        </is>
      </c>
      <c r="B10" t="n">
        <v>2021</v>
      </c>
      <c r="C10" t="inlineStr">
        <is>
          <t>Business and Financial Services</t>
        </is>
      </c>
      <c r="D10" t="inlineStr">
        <is>
          <t>DEU</t>
        </is>
      </c>
      <c r="E10" t="inlineStr">
        <is>
          <t>Germany</t>
        </is>
      </c>
      <c r="F10" t="inlineStr">
        <is>
          <t>ESP</t>
        </is>
      </c>
      <c r="G10" t="inlineStr">
        <is>
          <t>Spain</t>
        </is>
      </c>
      <c r="H10" t="n">
        <v>2599100000</v>
      </c>
      <c r="I10" t="n">
        <v>173300000</v>
      </c>
      <c r="J10" t="n">
        <v>59200000</v>
      </c>
      <c r="K10" t="n">
        <v>3666</v>
      </c>
      <c r="L10" t="n">
        <v>223300000</v>
      </c>
      <c r="M10" t="n">
        <v>45600000</v>
      </c>
      <c r="N10" t="inlineStr"/>
      <c r="O10" t="inlineStr"/>
      <c r="P10" t="inlineStr">
        <is>
          <t>EUR</t>
        </is>
      </c>
    </row>
    <row r="11">
      <c r="A11" t="inlineStr">
        <is>
          <t>ALLIANZ</t>
        </is>
      </c>
      <c r="B11" t="n">
        <v>2021</v>
      </c>
      <c r="C11" t="inlineStr">
        <is>
          <t>Business and Financial Services</t>
        </is>
      </c>
      <c r="D11" t="inlineStr">
        <is>
          <t>DEU</t>
        </is>
      </c>
      <c r="E11" t="inlineStr">
        <is>
          <t>Germany</t>
        </is>
      </c>
      <c r="F11" t="inlineStr">
        <is>
          <t>NLD</t>
        </is>
      </c>
      <c r="G11" t="inlineStr">
        <is>
          <t>Netherlands</t>
        </is>
      </c>
      <c r="H11" t="n">
        <v>1982200000</v>
      </c>
      <c r="I11" t="n">
        <v>386200000</v>
      </c>
      <c r="J11" t="n">
        <v>61100000</v>
      </c>
      <c r="K11" t="n">
        <v>2083</v>
      </c>
      <c r="L11" t="n">
        <v>23000000</v>
      </c>
      <c r="M11" t="n">
        <v>66200000</v>
      </c>
      <c r="N11" t="inlineStr"/>
      <c r="O11" t="inlineStr"/>
      <c r="P11" t="inlineStr">
        <is>
          <t>EUR</t>
        </is>
      </c>
    </row>
    <row r="12">
      <c r="A12" t="inlineStr">
        <is>
          <t>ALLIANZ</t>
        </is>
      </c>
      <c r="B12" t="n">
        <v>2021</v>
      </c>
      <c r="C12" t="inlineStr">
        <is>
          <t>Business and Financial Services</t>
        </is>
      </c>
      <c r="D12" t="inlineStr">
        <is>
          <t>DEU</t>
        </is>
      </c>
      <c r="E12" t="inlineStr">
        <is>
          <t>Germany</t>
        </is>
      </c>
      <c r="F12" t="inlineStr">
        <is>
          <t>AUT</t>
        </is>
      </c>
      <c r="G12" t="inlineStr">
        <is>
          <t>Austria</t>
        </is>
      </c>
      <c r="H12" t="n">
        <v>1741700000</v>
      </c>
      <c r="I12" t="n">
        <v>169800000</v>
      </c>
      <c r="J12" t="n">
        <v>74600000</v>
      </c>
      <c r="K12" t="n">
        <v>2920</v>
      </c>
      <c r="L12" t="n">
        <v>218300000</v>
      </c>
      <c r="M12" t="n">
        <v>49500000</v>
      </c>
      <c r="N12" t="inlineStr"/>
      <c r="O12" t="inlineStr"/>
      <c r="P12" t="inlineStr">
        <is>
          <t>EUR</t>
        </is>
      </c>
    </row>
    <row r="13">
      <c r="A13" t="inlineStr">
        <is>
          <t>ALLIANZ</t>
        </is>
      </c>
      <c r="B13" t="n">
        <v>2021</v>
      </c>
      <c r="C13" t="inlineStr">
        <is>
          <t>Business and Financial Services</t>
        </is>
      </c>
      <c r="D13" t="inlineStr">
        <is>
          <t>DEU</t>
        </is>
      </c>
      <c r="E13" t="inlineStr">
        <is>
          <t>Germany</t>
        </is>
      </c>
      <c r="F13" t="inlineStr">
        <is>
          <t>LUX</t>
        </is>
      </c>
      <c r="G13" t="inlineStr">
        <is>
          <t>Luxembourg</t>
        </is>
      </c>
      <c r="H13" t="n">
        <v>1614400000</v>
      </c>
      <c r="I13" t="n">
        <v>975200000</v>
      </c>
      <c r="J13" t="n">
        <v>96300000</v>
      </c>
      <c r="K13" t="n">
        <v>89</v>
      </c>
      <c r="L13" t="n">
        <v>5789900000</v>
      </c>
      <c r="M13" t="n">
        <v>146100000</v>
      </c>
      <c r="N13" t="inlineStr"/>
      <c r="O13" t="inlineStr"/>
      <c r="P13" t="inlineStr">
        <is>
          <t>EUR</t>
        </is>
      </c>
    </row>
    <row r="14">
      <c r="A14" t="inlineStr">
        <is>
          <t>ALLIANZ</t>
        </is>
      </c>
      <c r="B14" t="n">
        <v>2021</v>
      </c>
      <c r="C14" t="inlineStr">
        <is>
          <t>Business and Financial Services</t>
        </is>
      </c>
      <c r="D14" t="inlineStr">
        <is>
          <t>DEU</t>
        </is>
      </c>
      <c r="E14" t="inlineStr">
        <is>
          <t>Germany</t>
        </is>
      </c>
      <c r="F14" t="inlineStr">
        <is>
          <t>CHN</t>
        </is>
      </c>
      <c r="G14" t="inlineStr">
        <is>
          <t>China</t>
        </is>
      </c>
      <c r="H14" t="n">
        <v>1329400000</v>
      </c>
      <c r="I14" t="n">
        <v>33300000</v>
      </c>
      <c r="J14" t="n">
        <v>3100000</v>
      </c>
      <c r="K14" t="n">
        <v>1575</v>
      </c>
      <c r="L14" t="n">
        <v>6400000</v>
      </c>
      <c r="M14" t="n">
        <v>12000000</v>
      </c>
      <c r="N14" t="inlineStr"/>
      <c r="O14" t="inlineStr"/>
      <c r="P14" t="inlineStr">
        <is>
          <t>EUR</t>
        </is>
      </c>
    </row>
    <row r="15">
      <c r="A15" t="inlineStr">
        <is>
          <t>ALLIANZ</t>
        </is>
      </c>
      <c r="B15" t="n">
        <v>2021</v>
      </c>
      <c r="C15" t="inlineStr">
        <is>
          <t>Business and Financial Services</t>
        </is>
      </c>
      <c r="D15" t="inlineStr">
        <is>
          <t>DEU</t>
        </is>
      </c>
      <c r="E15" t="inlineStr">
        <is>
          <t>Germany</t>
        </is>
      </c>
      <c r="F15" t="inlineStr">
        <is>
          <t>THA</t>
        </is>
      </c>
      <c r="G15" t="inlineStr">
        <is>
          <t>Thailand</t>
        </is>
      </c>
      <c r="H15" t="n">
        <v>1201300000</v>
      </c>
      <c r="I15" t="n">
        <v>161800000</v>
      </c>
      <c r="J15" t="n">
        <v>32100000</v>
      </c>
      <c r="K15" t="n">
        <v>2389</v>
      </c>
      <c r="L15" t="n">
        <v>19200000</v>
      </c>
      <c r="M15" t="n">
        <v>28300000</v>
      </c>
      <c r="N15" t="inlineStr"/>
      <c r="O15" t="inlineStr"/>
      <c r="P15" t="inlineStr">
        <is>
          <t>EUR</t>
        </is>
      </c>
    </row>
    <row r="16">
      <c r="A16" t="inlineStr">
        <is>
          <t>ALLIANZ</t>
        </is>
      </c>
      <c r="B16" t="n">
        <v>2021</v>
      </c>
      <c r="C16" t="inlineStr">
        <is>
          <t>Business and Financial Services</t>
        </is>
      </c>
      <c r="D16" t="inlineStr">
        <is>
          <t>DEU</t>
        </is>
      </c>
      <c r="E16" t="inlineStr">
        <is>
          <t>Germany</t>
        </is>
      </c>
      <c r="F16" t="inlineStr">
        <is>
          <t>TUR</t>
        </is>
      </c>
      <c r="G16" t="inlineStr">
        <is>
          <t>Turkey</t>
        </is>
      </c>
      <c r="H16" t="n">
        <v>1168700000</v>
      </c>
      <c r="I16" t="n">
        <v>209400000</v>
      </c>
      <c r="J16" t="n">
        <v>45700000</v>
      </c>
      <c r="K16" t="n">
        <v>2392</v>
      </c>
      <c r="L16" t="n">
        <v>40500000</v>
      </c>
      <c r="M16" t="n">
        <v>48800000</v>
      </c>
      <c r="N16" t="inlineStr"/>
      <c r="O16" t="inlineStr"/>
      <c r="P16" t="inlineStr">
        <is>
          <t>EUR</t>
        </is>
      </c>
    </row>
    <row r="17">
      <c r="A17" t="inlineStr">
        <is>
          <t>ALLIANZ</t>
        </is>
      </c>
      <c r="B17" t="n">
        <v>2021</v>
      </c>
      <c r="C17" t="inlineStr">
        <is>
          <t>Business and Financial Services</t>
        </is>
      </c>
      <c r="D17" t="inlineStr">
        <is>
          <t>DEU</t>
        </is>
      </c>
      <c r="E17" t="inlineStr">
        <is>
          <t>Germany</t>
        </is>
      </c>
      <c r="F17" t="inlineStr">
        <is>
          <t>BRA</t>
        </is>
      </c>
      <c r="G17" t="inlineStr">
        <is>
          <t>Brazil</t>
        </is>
      </c>
      <c r="H17" t="n">
        <v>1133300000</v>
      </c>
      <c r="I17" t="n">
        <v>-41600000</v>
      </c>
      <c r="J17" t="n">
        <v>49700000</v>
      </c>
      <c r="K17" t="n">
        <v>2375</v>
      </c>
      <c r="L17" t="n">
        <v>9900000</v>
      </c>
      <c r="M17" t="n">
        <v>39500000</v>
      </c>
      <c r="N17" t="inlineStr"/>
      <c r="O17" t="inlineStr"/>
      <c r="P17" t="inlineStr">
        <is>
          <t>EUR</t>
        </is>
      </c>
    </row>
    <row r="18">
      <c r="A18" t="inlineStr">
        <is>
          <t>ALLIANZ</t>
        </is>
      </c>
      <c r="B18" t="n">
        <v>2021</v>
      </c>
      <c r="C18" t="inlineStr">
        <is>
          <t>Business and Financial Services</t>
        </is>
      </c>
      <c r="D18" t="inlineStr">
        <is>
          <t>DEU</t>
        </is>
      </c>
      <c r="E18" t="inlineStr">
        <is>
          <t>Germany</t>
        </is>
      </c>
      <c r="F18" t="inlineStr">
        <is>
          <t>BEL</t>
        </is>
      </c>
      <c r="G18" t="inlineStr">
        <is>
          <t>Belgium</t>
        </is>
      </c>
      <c r="H18" t="n">
        <v>1003500000</v>
      </c>
      <c r="I18" t="n">
        <v>-147500000</v>
      </c>
      <c r="J18" t="n">
        <v>28000000</v>
      </c>
      <c r="K18" t="n">
        <v>3414</v>
      </c>
      <c r="L18" t="n">
        <v>364200000</v>
      </c>
      <c r="M18" t="n">
        <v>15000000</v>
      </c>
      <c r="N18" t="inlineStr"/>
      <c r="O18" t="inlineStr"/>
      <c r="P18" t="inlineStr">
        <is>
          <t>EUR</t>
        </is>
      </c>
    </row>
    <row r="19">
      <c r="A19" t="inlineStr">
        <is>
          <t>ALLIANZ</t>
        </is>
      </c>
      <c r="B19" t="n">
        <v>2021</v>
      </c>
      <c r="C19" t="inlineStr">
        <is>
          <t>Business and Financial Services</t>
        </is>
      </c>
      <c r="D19" t="inlineStr">
        <is>
          <t>DEU</t>
        </is>
      </c>
      <c r="E19" t="inlineStr">
        <is>
          <t>Germany</t>
        </is>
      </c>
      <c r="F19" t="inlineStr">
        <is>
          <t>TWN</t>
        </is>
      </c>
      <c r="G19" t="inlineStr">
        <is>
          <t>Taiwan</t>
        </is>
      </c>
      <c r="H19" t="n">
        <v>948600000</v>
      </c>
      <c r="I19" t="n">
        <v>134300000</v>
      </c>
      <c r="J19" t="n">
        <v>6800000</v>
      </c>
      <c r="K19" t="n">
        <v>801</v>
      </c>
      <c r="L19" t="n">
        <v>13300000</v>
      </c>
      <c r="M19" t="n">
        <v>8500000</v>
      </c>
      <c r="N19" t="inlineStr"/>
      <c r="O19" t="inlineStr"/>
      <c r="P19" t="inlineStr">
        <is>
          <t>EUR</t>
        </is>
      </c>
    </row>
    <row r="20">
      <c r="A20" t="inlineStr">
        <is>
          <t>ALLIANZ</t>
        </is>
      </c>
      <c r="B20" t="n">
        <v>2021</v>
      </c>
      <c r="C20" t="inlineStr">
        <is>
          <t>Business and Financial Services</t>
        </is>
      </c>
      <c r="D20" t="inlineStr">
        <is>
          <t>DEU</t>
        </is>
      </c>
      <c r="E20" t="inlineStr">
        <is>
          <t>Germany</t>
        </is>
      </c>
      <c r="F20" t="inlineStr">
        <is>
          <t>MYS</t>
        </is>
      </c>
      <c r="G20" t="inlineStr">
        <is>
          <t>Malaysia</t>
        </is>
      </c>
      <c r="H20" t="n">
        <v>899000000</v>
      </c>
      <c r="I20" t="n">
        <v>152400000</v>
      </c>
      <c r="J20" t="n">
        <v>33000000</v>
      </c>
      <c r="K20" t="n">
        <v>1902</v>
      </c>
      <c r="L20" t="n">
        <v>15600000</v>
      </c>
      <c r="M20" t="n">
        <v>28600000</v>
      </c>
      <c r="N20" t="inlineStr"/>
      <c r="O20" t="inlineStr"/>
      <c r="P20" t="inlineStr">
        <is>
          <t>EUR</t>
        </is>
      </c>
    </row>
    <row r="21">
      <c r="A21" t="inlineStr">
        <is>
          <t>ALLIANZ</t>
        </is>
      </c>
      <c r="B21" t="n">
        <v>2021</v>
      </c>
      <c r="C21" t="inlineStr">
        <is>
          <t>Business and Financial Services</t>
        </is>
      </c>
      <c r="D21" t="inlineStr">
        <is>
          <t>DEU</t>
        </is>
      </c>
      <c r="E21" t="inlineStr">
        <is>
          <t>Germany</t>
        </is>
      </c>
      <c r="F21" t="inlineStr">
        <is>
          <t>CZE</t>
        </is>
      </c>
      <c r="G21" t="inlineStr">
        <is>
          <t>Czechia</t>
        </is>
      </c>
      <c r="H21" t="n">
        <v>649800000</v>
      </c>
      <c r="I21" t="n">
        <v>83200000</v>
      </c>
      <c r="J21" t="n">
        <v>27200000</v>
      </c>
      <c r="K21" t="n">
        <v>891</v>
      </c>
      <c r="L21" t="n">
        <v>62600000</v>
      </c>
      <c r="M21" t="n">
        <v>28100000</v>
      </c>
      <c r="N21" t="inlineStr"/>
      <c r="O21" t="inlineStr"/>
      <c r="P21" t="inlineStr">
        <is>
          <t>EUR</t>
        </is>
      </c>
    </row>
    <row r="22">
      <c r="A22" t="inlineStr">
        <is>
          <t>ALLIANZ</t>
        </is>
      </c>
      <c r="B22" t="n">
        <v>2021</v>
      </c>
      <c r="C22" t="inlineStr">
        <is>
          <t>Business and Financial Services</t>
        </is>
      </c>
      <c r="D22" t="inlineStr">
        <is>
          <t>DEU</t>
        </is>
      </c>
      <c r="E22" t="inlineStr">
        <is>
          <t>Germany</t>
        </is>
      </c>
      <c r="F22" t="inlineStr">
        <is>
          <t>SVK</t>
        </is>
      </c>
      <c r="G22" t="inlineStr">
        <is>
          <t>Slovakia</t>
        </is>
      </c>
      <c r="H22" t="n">
        <v>612800000</v>
      </c>
      <c r="I22" t="n">
        <v>140900000</v>
      </c>
      <c r="J22" t="n">
        <v>40500000</v>
      </c>
      <c r="K22" t="n">
        <v>1128</v>
      </c>
      <c r="L22" t="n">
        <v>69900000</v>
      </c>
      <c r="M22" t="n">
        <v>35400000</v>
      </c>
      <c r="N22" t="inlineStr"/>
      <c r="O22" t="inlineStr"/>
      <c r="P22" t="inlineStr">
        <is>
          <t>EUR</t>
        </is>
      </c>
    </row>
    <row r="23">
      <c r="A23" t="inlineStr">
        <is>
          <t>ALLIANZ</t>
        </is>
      </c>
      <c r="B23" t="n">
        <v>2021</v>
      </c>
      <c r="C23" t="inlineStr">
        <is>
          <t>Business and Financial Services</t>
        </is>
      </c>
      <c r="D23" t="inlineStr">
        <is>
          <t>DEU</t>
        </is>
      </c>
      <c r="E23" t="inlineStr">
        <is>
          <t>Germany</t>
        </is>
      </c>
      <c r="F23" t="inlineStr">
        <is>
          <t>POL</t>
        </is>
      </c>
      <c r="G23" t="inlineStr">
        <is>
          <t>Poland</t>
        </is>
      </c>
      <c r="H23" t="n">
        <v>591400000</v>
      </c>
      <c r="I23" t="n">
        <v>89500000</v>
      </c>
      <c r="J23" t="n">
        <v>15300000</v>
      </c>
      <c r="K23" t="n">
        <v>5616</v>
      </c>
      <c r="L23" t="n">
        <v>30500000</v>
      </c>
      <c r="M23" t="n">
        <v>16500000</v>
      </c>
      <c r="N23" t="inlineStr"/>
      <c r="O23" t="inlineStr"/>
      <c r="P23" t="inlineStr">
        <is>
          <t>EUR</t>
        </is>
      </c>
    </row>
    <row r="24">
      <c r="A24" t="inlineStr">
        <is>
          <t>ALLIANZ</t>
        </is>
      </c>
      <c r="B24" t="n">
        <v>2021</v>
      </c>
      <c r="C24" t="inlineStr">
        <is>
          <t>Business and Financial Services</t>
        </is>
      </c>
      <c r="D24" t="inlineStr">
        <is>
          <t>DEU</t>
        </is>
      </c>
      <c r="E24" t="inlineStr">
        <is>
          <t>Germany</t>
        </is>
      </c>
      <c r="F24" t="inlineStr">
        <is>
          <t>HKG</t>
        </is>
      </c>
      <c r="G24" t="inlineStr">
        <is>
          <t>Hong Kong</t>
        </is>
      </c>
      <c r="H24" t="n">
        <v>552600000</v>
      </c>
      <c r="I24" t="n">
        <v>95000000</v>
      </c>
      <c r="J24" t="n">
        <v>9900000</v>
      </c>
      <c r="K24" t="n">
        <v>191</v>
      </c>
      <c r="L24" t="n">
        <v>0</v>
      </c>
      <c r="M24" t="n">
        <v>16700000</v>
      </c>
      <c r="N24" t="inlineStr"/>
      <c r="O24" t="inlineStr"/>
      <c r="P24" t="inlineStr">
        <is>
          <t>EUR</t>
        </is>
      </c>
    </row>
    <row r="25">
      <c r="A25" t="inlineStr">
        <is>
          <t>ALLIANZ</t>
        </is>
      </c>
      <c r="B25" t="n">
        <v>2021</v>
      </c>
      <c r="C25" t="inlineStr">
        <is>
          <t>Business and Financial Services</t>
        </is>
      </c>
      <c r="D25" t="inlineStr">
        <is>
          <t>DEU</t>
        </is>
      </c>
      <c r="E25" t="inlineStr">
        <is>
          <t>Germany</t>
        </is>
      </c>
      <c r="F25" t="inlineStr">
        <is>
          <t>PRT</t>
        </is>
      </c>
      <c r="G25" t="inlineStr">
        <is>
          <t>Portugal</t>
        </is>
      </c>
      <c r="H25" t="n">
        <v>536700000</v>
      </c>
      <c r="I25" t="n">
        <v>54500000</v>
      </c>
      <c r="J25" t="n">
        <v>22300000</v>
      </c>
      <c r="K25" t="n">
        <v>631</v>
      </c>
      <c r="L25" t="n">
        <v>26400000</v>
      </c>
      <c r="M25" t="n">
        <v>14400000</v>
      </c>
      <c r="N25" t="inlineStr"/>
      <c r="O25" t="inlineStr"/>
      <c r="P25" t="inlineStr">
        <is>
          <t>EUR</t>
        </is>
      </c>
    </row>
    <row r="26">
      <c r="A26" t="inlineStr">
        <is>
          <t>ALLIANZ</t>
        </is>
      </c>
      <c r="B26" t="n">
        <v>2021</v>
      </c>
      <c r="C26" t="inlineStr">
        <is>
          <t>Business and Financial Services</t>
        </is>
      </c>
      <c r="D26" t="inlineStr">
        <is>
          <t>DEU</t>
        </is>
      </c>
      <c r="E26" t="inlineStr">
        <is>
          <t>Germany</t>
        </is>
      </c>
      <c r="F26" t="inlineStr">
        <is>
          <t>MEX</t>
        </is>
      </c>
      <c r="G26" t="inlineStr">
        <is>
          <t>Mexico</t>
        </is>
      </c>
      <c r="H26" t="n">
        <v>455100000</v>
      </c>
      <c r="I26" t="n">
        <v>54700000</v>
      </c>
      <c r="J26" t="n">
        <v>14800000</v>
      </c>
      <c r="K26" t="n">
        <v>473</v>
      </c>
      <c r="L26" t="n">
        <v>4600000</v>
      </c>
      <c r="M26" t="n">
        <v>13900000</v>
      </c>
      <c r="N26" t="inlineStr"/>
      <c r="O26" t="inlineStr"/>
      <c r="P26" t="inlineStr">
        <is>
          <t>EUR</t>
        </is>
      </c>
    </row>
    <row r="27">
      <c r="A27" t="inlineStr">
        <is>
          <t>ALLIANZ</t>
        </is>
      </c>
      <c r="B27" t="n">
        <v>2021</v>
      </c>
      <c r="C27" t="inlineStr">
        <is>
          <t>Business and Financial Services</t>
        </is>
      </c>
      <c r="D27" t="inlineStr">
        <is>
          <t>DEU</t>
        </is>
      </c>
      <c r="E27" t="inlineStr">
        <is>
          <t>Germany</t>
        </is>
      </c>
      <c r="F27" t="inlineStr">
        <is>
          <t>IDN</t>
        </is>
      </c>
      <c r="G27" t="inlineStr">
        <is>
          <t>Indonesia</t>
        </is>
      </c>
      <c r="H27" t="n">
        <v>444100000</v>
      </c>
      <c r="I27" t="n">
        <v>80400000</v>
      </c>
      <c r="J27" t="n">
        <v>21500000</v>
      </c>
      <c r="K27" t="n">
        <v>1269</v>
      </c>
      <c r="L27" t="n">
        <v>14100000</v>
      </c>
      <c r="M27" t="n">
        <v>12400000</v>
      </c>
      <c r="N27" t="inlineStr"/>
      <c r="O27" t="inlineStr"/>
      <c r="P27" t="inlineStr">
        <is>
          <t>EUR</t>
        </is>
      </c>
    </row>
    <row r="28">
      <c r="A28" t="inlineStr">
        <is>
          <t>ALLIANZ</t>
        </is>
      </c>
      <c r="B28" t="n">
        <v>2021</v>
      </c>
      <c r="C28" t="inlineStr">
        <is>
          <t>Business and Financial Services</t>
        </is>
      </c>
      <c r="D28" t="inlineStr">
        <is>
          <t>DEU</t>
        </is>
      </c>
      <c r="E28" t="inlineStr">
        <is>
          <t>Germany</t>
        </is>
      </c>
      <c r="F28" t="inlineStr">
        <is>
          <t>HUN</t>
        </is>
      </c>
      <c r="G28" t="inlineStr">
        <is>
          <t>Hungary</t>
        </is>
      </c>
      <c r="H28" t="n">
        <v>395300000</v>
      </c>
      <c r="I28" t="n">
        <v>71600000</v>
      </c>
      <c r="J28" t="n">
        <v>10900000</v>
      </c>
      <c r="K28" t="n">
        <v>953</v>
      </c>
      <c r="L28" t="n">
        <v>31300000</v>
      </c>
      <c r="M28" t="n">
        <v>12000000</v>
      </c>
      <c r="N28" t="inlineStr"/>
      <c r="O28" t="inlineStr"/>
      <c r="P28" t="inlineStr">
        <is>
          <t>EUR</t>
        </is>
      </c>
    </row>
    <row r="29">
      <c r="A29" t="inlineStr">
        <is>
          <t>ALLIANZ</t>
        </is>
      </c>
      <c r="B29" t="n">
        <v>2021</v>
      </c>
      <c r="C29" t="inlineStr">
        <is>
          <t>Business and Financial Services</t>
        </is>
      </c>
      <c r="D29" t="inlineStr">
        <is>
          <t>DEU</t>
        </is>
      </c>
      <c r="E29" t="inlineStr">
        <is>
          <t>Germany</t>
        </is>
      </c>
      <c r="F29" t="inlineStr">
        <is>
          <t>ROU</t>
        </is>
      </c>
      <c r="G29" t="inlineStr">
        <is>
          <t>Romania</t>
        </is>
      </c>
      <c r="H29" t="n">
        <v>303300000</v>
      </c>
      <c r="I29" t="n">
        <v>47200000</v>
      </c>
      <c r="J29" t="n">
        <v>6700000</v>
      </c>
      <c r="K29" t="n">
        <v>1205</v>
      </c>
      <c r="L29" t="n">
        <v>16600000</v>
      </c>
      <c r="M29" t="n">
        <v>6800000</v>
      </c>
      <c r="N29" t="inlineStr"/>
      <c r="O29" t="inlineStr"/>
      <c r="P29" t="inlineStr">
        <is>
          <t>EUR</t>
        </is>
      </c>
    </row>
    <row r="30">
      <c r="A30" t="inlineStr">
        <is>
          <t>ALLIANZ</t>
        </is>
      </c>
      <c r="B30" t="n">
        <v>2021</v>
      </c>
      <c r="C30" t="inlineStr">
        <is>
          <t>Business and Financial Services</t>
        </is>
      </c>
      <c r="D30" t="inlineStr">
        <is>
          <t>DEU</t>
        </is>
      </c>
      <c r="E30" t="inlineStr">
        <is>
          <t>Germany</t>
        </is>
      </c>
      <c r="F30" t="inlineStr">
        <is>
          <t>COL</t>
        </is>
      </c>
      <c r="G30" t="inlineStr">
        <is>
          <t>Colombia</t>
        </is>
      </c>
      <c r="H30" t="n">
        <v>293800000</v>
      </c>
      <c r="I30" t="n">
        <v>10400000</v>
      </c>
      <c r="J30" t="n">
        <v>2600000</v>
      </c>
      <c r="K30" t="n">
        <v>896</v>
      </c>
      <c r="L30" t="n">
        <v>5800000</v>
      </c>
      <c r="M30" t="n">
        <v>500000</v>
      </c>
      <c r="N30" t="inlineStr"/>
      <c r="O30" t="inlineStr"/>
      <c r="P30" t="inlineStr">
        <is>
          <t>EUR</t>
        </is>
      </c>
    </row>
    <row r="31">
      <c r="A31" t="inlineStr">
        <is>
          <t>ALLIANZ</t>
        </is>
      </c>
      <c r="B31" t="n">
        <v>2021</v>
      </c>
      <c r="C31" t="inlineStr">
        <is>
          <t>Business and Financial Services</t>
        </is>
      </c>
      <c r="D31" t="inlineStr">
        <is>
          <t>DEU</t>
        </is>
      </c>
      <c r="E31" t="inlineStr">
        <is>
          <t>Germany</t>
        </is>
      </c>
      <c r="F31" t="inlineStr">
        <is>
          <t>EGY</t>
        </is>
      </c>
      <c r="G31" t="inlineStr">
        <is>
          <t>Egypt</t>
        </is>
      </c>
      <c r="H31" t="n">
        <v>258100000</v>
      </c>
      <c r="I31" t="n">
        <v>57900000</v>
      </c>
      <c r="J31" t="n">
        <v>12400000</v>
      </c>
      <c r="K31" t="n">
        <v>1488</v>
      </c>
      <c r="L31" t="n">
        <v>23300000</v>
      </c>
      <c r="M31" t="n">
        <v>12400000</v>
      </c>
      <c r="N31" t="inlineStr"/>
      <c r="O31" t="inlineStr"/>
      <c r="P31" t="inlineStr">
        <is>
          <t>EUR</t>
        </is>
      </c>
    </row>
    <row r="32">
      <c r="A32" t="inlineStr">
        <is>
          <t>ALLIANZ</t>
        </is>
      </c>
      <c r="B32" t="n">
        <v>2021</v>
      </c>
      <c r="C32" t="inlineStr">
        <is>
          <t>Business and Financial Services</t>
        </is>
      </c>
      <c r="D32" t="inlineStr">
        <is>
          <t>DEU</t>
        </is>
      </c>
      <c r="E32" t="inlineStr">
        <is>
          <t>Germany</t>
        </is>
      </c>
      <c r="F32" t="inlineStr">
        <is>
          <t>LBN</t>
        </is>
      </c>
      <c r="G32" t="inlineStr">
        <is>
          <t>Lebanon</t>
        </is>
      </c>
      <c r="H32" t="n">
        <v>257600000</v>
      </c>
      <c r="I32" t="n">
        <v>178900000</v>
      </c>
      <c r="J32" t="n">
        <v>2500000</v>
      </c>
      <c r="K32" t="n">
        <v>199</v>
      </c>
      <c r="L32" t="n">
        <v>29900000</v>
      </c>
      <c r="M32" t="n">
        <v>2900000</v>
      </c>
      <c r="N32" t="inlineStr"/>
      <c r="O32" t="inlineStr"/>
      <c r="P32" t="inlineStr">
        <is>
          <t>EUR</t>
        </is>
      </c>
    </row>
    <row r="33">
      <c r="A33" t="inlineStr">
        <is>
          <t>ALLIANZ</t>
        </is>
      </c>
      <c r="B33" t="n">
        <v>2021</v>
      </c>
      <c r="C33" t="inlineStr">
        <is>
          <t>Business and Financial Services</t>
        </is>
      </c>
      <c r="D33" t="inlineStr">
        <is>
          <t>DEU</t>
        </is>
      </c>
      <c r="E33" t="inlineStr">
        <is>
          <t>Germany</t>
        </is>
      </c>
      <c r="F33" t="inlineStr">
        <is>
          <t>RUS</t>
        </is>
      </c>
      <c r="G33" t="inlineStr">
        <is>
          <t>Russia</t>
        </is>
      </c>
      <c r="H33" t="n">
        <v>241700000</v>
      </c>
      <c r="I33" t="n">
        <v>31800000</v>
      </c>
      <c r="J33" t="n">
        <v>5100000</v>
      </c>
      <c r="K33" t="n">
        <v>1189</v>
      </c>
      <c r="L33" t="n">
        <v>14200000</v>
      </c>
      <c r="M33" t="n">
        <v>6100000</v>
      </c>
      <c r="N33" t="inlineStr"/>
      <c r="O33" t="inlineStr"/>
      <c r="P33" t="inlineStr">
        <is>
          <t>EUR</t>
        </is>
      </c>
    </row>
    <row r="34">
      <c r="A34" t="inlineStr">
        <is>
          <t>ALLIANZ</t>
        </is>
      </c>
      <c r="B34" t="n">
        <v>2021</v>
      </c>
      <c r="C34" t="inlineStr">
        <is>
          <t>Business and Financial Services</t>
        </is>
      </c>
      <c r="D34" t="inlineStr">
        <is>
          <t>DEU</t>
        </is>
      </c>
      <c r="E34" t="inlineStr">
        <is>
          <t>Germany</t>
        </is>
      </c>
      <c r="F34" t="inlineStr">
        <is>
          <t>ARG</t>
        </is>
      </c>
      <c r="G34" t="inlineStr">
        <is>
          <t>Argentina</t>
        </is>
      </c>
      <c r="H34" t="n">
        <v>237800000</v>
      </c>
      <c r="I34" t="n">
        <v>27300000</v>
      </c>
      <c r="J34" t="n">
        <v>29700000</v>
      </c>
      <c r="K34" t="n">
        <v>386</v>
      </c>
      <c r="L34" t="n">
        <v>10200000</v>
      </c>
      <c r="M34" t="n">
        <v>15400000</v>
      </c>
      <c r="N34" t="inlineStr"/>
      <c r="O34" t="inlineStr"/>
      <c r="P34" t="inlineStr">
        <is>
          <t>EUR</t>
        </is>
      </c>
    </row>
    <row r="35">
      <c r="A35" t="inlineStr">
        <is>
          <t>ALLIANZ</t>
        </is>
      </c>
      <c r="B35" t="n">
        <v>2021</v>
      </c>
      <c r="C35" t="inlineStr">
        <is>
          <t>Business and Financial Services</t>
        </is>
      </c>
      <c r="D35" t="inlineStr">
        <is>
          <t>DEU</t>
        </is>
      </c>
      <c r="E35" t="inlineStr">
        <is>
          <t>Germany</t>
        </is>
      </c>
      <c r="F35" t="inlineStr">
        <is>
          <t>LIE</t>
        </is>
      </c>
      <c r="G35" t="inlineStr">
        <is>
          <t>Liechtenstein</t>
        </is>
      </c>
      <c r="H35" t="n">
        <v>225800000</v>
      </c>
      <c r="I35" t="n">
        <v>140500000</v>
      </c>
      <c r="J35" t="n">
        <v>-4400000</v>
      </c>
      <c r="K35" t="n">
        <v>78</v>
      </c>
      <c r="L35" t="n">
        <v>900000</v>
      </c>
      <c r="M35" t="n">
        <v>12000000</v>
      </c>
      <c r="N35" t="inlineStr"/>
      <c r="O35" t="inlineStr"/>
      <c r="P35" t="inlineStr">
        <is>
          <t>EUR</t>
        </is>
      </c>
    </row>
    <row r="36">
      <c r="A36" t="inlineStr">
        <is>
          <t>ALLIANZ</t>
        </is>
      </c>
      <c r="B36" t="n">
        <v>2021</v>
      </c>
      <c r="C36" t="inlineStr">
        <is>
          <t>Business and Financial Services</t>
        </is>
      </c>
      <c r="D36" t="inlineStr">
        <is>
          <t>DEU</t>
        </is>
      </c>
      <c r="E36" t="inlineStr">
        <is>
          <t>Germany</t>
        </is>
      </c>
      <c r="F36" t="inlineStr">
        <is>
          <t>BGR</t>
        </is>
      </c>
      <c r="G36" t="inlineStr">
        <is>
          <t>Bulgaria</t>
        </is>
      </c>
      <c r="H36" t="n">
        <v>191400000</v>
      </c>
      <c r="I36" t="n">
        <v>43800000</v>
      </c>
      <c r="J36" t="n">
        <v>4500000</v>
      </c>
      <c r="K36" t="n">
        <v>923</v>
      </c>
      <c r="L36" t="n">
        <v>20700000</v>
      </c>
      <c r="M36" t="n">
        <v>4800000</v>
      </c>
      <c r="N36" t="inlineStr"/>
      <c r="O36" t="inlineStr"/>
      <c r="P36" t="inlineStr">
        <is>
          <t>EUR</t>
        </is>
      </c>
    </row>
    <row r="37">
      <c r="A37" t="inlineStr">
        <is>
          <t>ALLIANZ</t>
        </is>
      </c>
      <c r="B37" t="n">
        <v>2021</v>
      </c>
      <c r="C37" t="inlineStr">
        <is>
          <t>Business and Financial Services</t>
        </is>
      </c>
      <c r="D37" t="inlineStr">
        <is>
          <t>DEU</t>
        </is>
      </c>
      <c r="E37" t="inlineStr">
        <is>
          <t>Germany</t>
        </is>
      </c>
      <c r="F37" t="inlineStr">
        <is>
          <t>SGP</t>
        </is>
      </c>
      <c r="G37" t="inlineStr">
        <is>
          <t>Singapore</t>
        </is>
      </c>
      <c r="H37" t="n">
        <v>162300000</v>
      </c>
      <c r="I37" t="n">
        <v>800000</v>
      </c>
      <c r="J37" t="n">
        <v>900000</v>
      </c>
      <c r="K37" t="n">
        <v>281</v>
      </c>
      <c r="L37" t="n">
        <v>6600000</v>
      </c>
      <c r="M37" t="n">
        <v>3000000</v>
      </c>
      <c r="N37" t="inlineStr"/>
      <c r="O37" t="inlineStr"/>
      <c r="P37" t="inlineStr">
        <is>
          <t>EUR</t>
        </is>
      </c>
    </row>
    <row r="38">
      <c r="A38" t="inlineStr">
        <is>
          <t>ALLIANZ</t>
        </is>
      </c>
      <c r="B38" t="n">
        <v>2021</v>
      </c>
      <c r="C38" t="inlineStr">
        <is>
          <t>Business and Financial Services</t>
        </is>
      </c>
      <c r="D38" t="inlineStr">
        <is>
          <t>DEU</t>
        </is>
      </c>
      <c r="E38" t="inlineStr">
        <is>
          <t>Germany</t>
        </is>
      </c>
      <c r="F38" t="inlineStr">
        <is>
          <t>HRV</t>
        </is>
      </c>
      <c r="G38" t="inlineStr">
        <is>
          <t>Croatia</t>
        </is>
      </c>
      <c r="H38" t="n">
        <v>159900000</v>
      </c>
      <c r="I38" t="n">
        <v>23000000</v>
      </c>
      <c r="J38" t="n">
        <v>3300000</v>
      </c>
      <c r="K38" t="n">
        <v>414</v>
      </c>
      <c r="L38" t="n">
        <v>7100000</v>
      </c>
      <c r="M38" t="n">
        <v>4600000</v>
      </c>
      <c r="N38" t="inlineStr"/>
      <c r="O38" t="inlineStr"/>
      <c r="P38" t="inlineStr">
        <is>
          <t>EUR</t>
        </is>
      </c>
    </row>
    <row r="39">
      <c r="A39" t="inlineStr">
        <is>
          <t>ALLIANZ</t>
        </is>
      </c>
      <c r="B39" t="n">
        <v>2021</v>
      </c>
      <c r="C39" t="inlineStr">
        <is>
          <t>Business and Financial Services</t>
        </is>
      </c>
      <c r="D39" t="inlineStr">
        <is>
          <t>DEU</t>
        </is>
      </c>
      <c r="E39" t="inlineStr">
        <is>
          <t>Germany</t>
        </is>
      </c>
      <c r="F39" t="inlineStr">
        <is>
          <t>MAR</t>
        </is>
      </c>
      <c r="G39" t="inlineStr">
        <is>
          <t>Morocco</t>
        </is>
      </c>
      <c r="H39" t="n">
        <v>131500000</v>
      </c>
      <c r="I39" t="n">
        <v>13000000</v>
      </c>
      <c r="J39" t="n">
        <v>400000</v>
      </c>
      <c r="K39" t="n">
        <v>399</v>
      </c>
      <c r="L39" t="n">
        <v>23200000</v>
      </c>
      <c r="M39" t="n">
        <v>900000</v>
      </c>
      <c r="N39" t="inlineStr"/>
      <c r="O39" t="inlineStr"/>
      <c r="P39" t="inlineStr">
        <is>
          <t>EUR</t>
        </is>
      </c>
    </row>
    <row r="40">
      <c r="A40" t="inlineStr">
        <is>
          <t>ALLIANZ</t>
        </is>
      </c>
      <c r="B40" t="n">
        <v>2021</v>
      </c>
      <c r="C40" t="inlineStr">
        <is>
          <t>Business and Financial Services</t>
        </is>
      </c>
      <c r="D40" t="inlineStr">
        <is>
          <t>DEU</t>
        </is>
      </c>
      <c r="E40" t="inlineStr">
        <is>
          <t>Germany</t>
        </is>
      </c>
      <c r="F40" t="inlineStr">
        <is>
          <t>GRC</t>
        </is>
      </c>
      <c r="G40" t="inlineStr">
        <is>
          <t>Greece</t>
        </is>
      </c>
      <c r="H40" t="n">
        <v>129700000</v>
      </c>
      <c r="I40" t="n">
        <v>9600000</v>
      </c>
      <c r="J40" t="n">
        <v>-800000</v>
      </c>
      <c r="K40" t="n">
        <v>227</v>
      </c>
      <c r="L40" t="n">
        <v>19900000</v>
      </c>
      <c r="M40" t="n">
        <v>300000</v>
      </c>
      <c r="N40" t="inlineStr"/>
      <c r="O40" t="inlineStr"/>
      <c r="P40" t="inlineStr">
        <is>
          <t>EUR</t>
        </is>
      </c>
    </row>
    <row r="41">
      <c r="A41" t="inlineStr">
        <is>
          <t>ALLIANZ</t>
        </is>
      </c>
      <c r="B41" t="n">
        <v>2021</v>
      </c>
      <c r="C41" t="inlineStr">
        <is>
          <t>Business and Financial Services</t>
        </is>
      </c>
      <c r="D41" t="inlineStr">
        <is>
          <t>DEU</t>
        </is>
      </c>
      <c r="E41" t="inlineStr">
        <is>
          <t>Germany</t>
        </is>
      </c>
      <c r="F41" t="inlineStr">
        <is>
          <t>SAU</t>
        </is>
      </c>
      <c r="G41" t="inlineStr">
        <is>
          <t>Saudi Arabia</t>
        </is>
      </c>
      <c r="H41" t="n">
        <v>102300000</v>
      </c>
      <c r="I41" t="n">
        <v>1000000</v>
      </c>
      <c r="J41" t="n">
        <v>3000000</v>
      </c>
      <c r="K41" t="n">
        <v>344</v>
      </c>
      <c r="L41" t="n">
        <v>2100000</v>
      </c>
      <c r="M41" t="n">
        <v>3000000</v>
      </c>
      <c r="N41" t="inlineStr"/>
      <c r="O41" t="inlineStr"/>
      <c r="P41" t="inlineStr">
        <is>
          <t>EUR</t>
        </is>
      </c>
    </row>
    <row r="42">
      <c r="A42" t="inlineStr">
        <is>
          <t>ALLIANZ</t>
        </is>
      </c>
      <c r="B42" t="n">
        <v>2021</v>
      </c>
      <c r="C42" t="inlineStr">
        <is>
          <t>Business and Financial Services</t>
        </is>
      </c>
      <c r="D42" t="inlineStr">
        <is>
          <t>DEU</t>
        </is>
      </c>
      <c r="E42" t="inlineStr">
        <is>
          <t>Germany</t>
        </is>
      </c>
      <c r="F42" t="inlineStr">
        <is>
          <t>JPN</t>
        </is>
      </c>
      <c r="G42" t="inlineStr">
        <is>
          <t>Japan</t>
        </is>
      </c>
      <c r="H42" t="n">
        <v>72000000</v>
      </c>
      <c r="I42" t="n">
        <v>13000000</v>
      </c>
      <c r="J42" t="n">
        <v>2000000</v>
      </c>
      <c r="K42" t="n">
        <v>256</v>
      </c>
      <c r="L42" t="n">
        <v>900000</v>
      </c>
      <c r="M42" t="n">
        <v>6500000</v>
      </c>
      <c r="N42" t="inlineStr"/>
      <c r="O42" t="inlineStr"/>
      <c r="P42" t="inlineStr">
        <is>
          <t>EUR</t>
        </is>
      </c>
    </row>
    <row r="43">
      <c r="A43" t="inlineStr">
        <is>
          <t>ALLIANZ</t>
        </is>
      </c>
      <c r="B43" t="n">
        <v>2021</v>
      </c>
      <c r="C43" t="inlineStr">
        <is>
          <t>Business and Financial Services</t>
        </is>
      </c>
      <c r="D43" t="inlineStr">
        <is>
          <t>DEU</t>
        </is>
      </c>
      <c r="E43" t="inlineStr">
        <is>
          <t>Germany</t>
        </is>
      </c>
      <c r="F43" t="inlineStr">
        <is>
          <t>BHR</t>
        </is>
      </c>
      <c r="G43" t="inlineStr">
        <is>
          <t>Bahrain</t>
        </is>
      </c>
      <c r="H43" t="n">
        <v>71600000</v>
      </c>
      <c r="I43" t="n">
        <v>6600000</v>
      </c>
      <c r="J43" t="n">
        <v>2400000</v>
      </c>
      <c r="K43" t="n">
        <v>1553</v>
      </c>
      <c r="L43" t="n">
        <v>2700000</v>
      </c>
      <c r="M43" t="n">
        <v>2000000</v>
      </c>
      <c r="N43" t="inlineStr"/>
      <c r="O43" t="inlineStr"/>
      <c r="P43" t="inlineStr">
        <is>
          <t>EUR</t>
        </is>
      </c>
    </row>
    <row r="44">
      <c r="A44" t="inlineStr">
        <is>
          <t>ALLIANZ</t>
        </is>
      </c>
      <c r="B44" t="n">
        <v>2021</v>
      </c>
      <c r="C44" t="inlineStr">
        <is>
          <t>Business and Financial Services</t>
        </is>
      </c>
      <c r="D44" t="inlineStr">
        <is>
          <t>DEU</t>
        </is>
      </c>
      <c r="E44" t="inlineStr">
        <is>
          <t>Germany</t>
        </is>
      </c>
      <c r="F44" t="inlineStr">
        <is>
          <t>CIV</t>
        </is>
      </c>
      <c r="G44" t="inlineStr">
        <is>
          <t>Côte d'Ivoire</t>
        </is>
      </c>
      <c r="H44" t="n">
        <v>70500000</v>
      </c>
      <c r="I44" t="n">
        <v>13000000</v>
      </c>
      <c r="J44" t="n">
        <v>3800000</v>
      </c>
      <c r="K44" t="n">
        <v>215</v>
      </c>
      <c r="L44" t="n">
        <v>6700000</v>
      </c>
      <c r="M44" t="n">
        <v>2200000</v>
      </c>
      <c r="N44" t="inlineStr"/>
      <c r="O44" t="inlineStr"/>
      <c r="P44" t="inlineStr">
        <is>
          <t>EUR</t>
        </is>
      </c>
    </row>
    <row r="45">
      <c r="A45" t="inlineStr">
        <is>
          <t>ALLIANZ</t>
        </is>
      </c>
      <c r="B45" t="n">
        <v>2021</v>
      </c>
      <c r="C45" t="inlineStr">
        <is>
          <t>Business and Financial Services</t>
        </is>
      </c>
      <c r="D45" t="inlineStr">
        <is>
          <t>DEU</t>
        </is>
      </c>
      <c r="E45" t="inlineStr">
        <is>
          <t>Germany</t>
        </is>
      </c>
      <c r="F45" t="inlineStr">
        <is>
          <t>IND</t>
        </is>
      </c>
      <c r="G45" t="inlineStr">
        <is>
          <t>India</t>
        </is>
      </c>
      <c r="H45" t="n">
        <v>46800000</v>
      </c>
      <c r="I45" t="n">
        <v>10100000</v>
      </c>
      <c r="J45" t="n">
        <v>2100000</v>
      </c>
      <c r="K45" t="n">
        <v>3058</v>
      </c>
      <c r="L45" t="n">
        <v>2400000</v>
      </c>
      <c r="M45" t="n">
        <v>1400000</v>
      </c>
      <c r="N45" t="inlineStr"/>
      <c r="O45" t="inlineStr"/>
      <c r="P45" t="inlineStr">
        <is>
          <t>EUR</t>
        </is>
      </c>
    </row>
    <row r="46">
      <c r="A46" t="inlineStr">
        <is>
          <t>ALLIANZ</t>
        </is>
      </c>
      <c r="B46" t="n">
        <v>2021</v>
      </c>
      <c r="C46" t="inlineStr">
        <is>
          <t>Business and Financial Services</t>
        </is>
      </c>
      <c r="D46" t="inlineStr">
        <is>
          <t>DEU</t>
        </is>
      </c>
      <c r="E46" t="inlineStr">
        <is>
          <t>Germany</t>
        </is>
      </c>
      <c r="F46" t="inlineStr">
        <is>
          <t>BMU</t>
        </is>
      </c>
      <c r="G46" t="inlineStr">
        <is>
          <t>Bermuda</t>
        </is>
      </c>
      <c r="H46" t="n">
        <v>37000000</v>
      </c>
      <c r="I46" t="n">
        <v>20700000</v>
      </c>
      <c r="J46" t="n">
        <v>2200000</v>
      </c>
      <c r="K46" t="n">
        <v>20</v>
      </c>
      <c r="L46" t="n">
        <v>100000</v>
      </c>
      <c r="M46" t="n">
        <v>3300000</v>
      </c>
      <c r="N46" t="inlineStr"/>
      <c r="O46" t="inlineStr"/>
      <c r="P46" t="inlineStr">
        <is>
          <t>EUR</t>
        </is>
      </c>
    </row>
    <row r="47">
      <c r="A47" t="inlineStr">
        <is>
          <t>ALLIANZ</t>
        </is>
      </c>
      <c r="B47" t="n">
        <v>2021</v>
      </c>
      <c r="C47" t="inlineStr">
        <is>
          <t>Business and Financial Services</t>
        </is>
      </c>
      <c r="D47" t="inlineStr">
        <is>
          <t>DEU</t>
        </is>
      </c>
      <c r="E47" t="inlineStr">
        <is>
          <t>Germany</t>
        </is>
      </c>
      <c r="F47" t="inlineStr">
        <is>
          <t>OTHER</t>
        </is>
      </c>
      <c r="G47" t="inlineStr">
        <is>
          <t>Other</t>
        </is>
      </c>
      <c r="H47" t="n">
        <v>294100000</v>
      </c>
      <c r="I47" t="n">
        <v>12800000</v>
      </c>
      <c r="J47" t="n">
        <v>6300000</v>
      </c>
      <c r="K47" t="n">
        <v>4802</v>
      </c>
      <c r="L47" t="n">
        <v>98000000</v>
      </c>
      <c r="M47" t="n">
        <v>7700000</v>
      </c>
      <c r="N47" t="inlineStr"/>
      <c r="O47" t="inlineStr"/>
      <c r="P47" t="inlineStr">
        <is>
          <t>EUR</t>
        </is>
      </c>
    </row>
    <row r="48">
      <c r="A48" t="inlineStr">
        <is>
          <t>UNIPER</t>
        </is>
      </c>
      <c r="B48" t="n">
        <v>2021</v>
      </c>
      <c r="C48" t="inlineStr">
        <is>
          <t>Utilities</t>
        </is>
      </c>
      <c r="D48" t="inlineStr">
        <is>
          <t>DEU</t>
        </is>
      </c>
      <c r="E48" t="inlineStr">
        <is>
          <t>Germany</t>
        </is>
      </c>
      <c r="F48" t="inlineStr">
        <is>
          <t>DEU</t>
        </is>
      </c>
      <c r="G48" t="inlineStr">
        <is>
          <t>Germany</t>
        </is>
      </c>
      <c r="H48" t="inlineStr"/>
      <c r="I48" t="n">
        <v>-3244000000</v>
      </c>
      <c r="J48" t="inlineStr"/>
      <c r="K48" t="n">
        <v>4831</v>
      </c>
      <c r="L48" t="inlineStr"/>
      <c r="M48" t="n">
        <v>483000000</v>
      </c>
      <c r="N48" t="n">
        <v>70218000000</v>
      </c>
      <c r="O48" t="n">
        <v>16156000000</v>
      </c>
      <c r="P48" t="inlineStr">
        <is>
          <t>EUR</t>
        </is>
      </c>
    </row>
    <row r="49">
      <c r="A49" t="inlineStr">
        <is>
          <t>UNIPER</t>
        </is>
      </c>
      <c r="B49" t="n">
        <v>2021</v>
      </c>
      <c r="C49" t="inlineStr">
        <is>
          <t>Utilities</t>
        </is>
      </c>
      <c r="D49" t="inlineStr">
        <is>
          <t>DEU</t>
        </is>
      </c>
      <c r="E49" t="inlineStr">
        <is>
          <t>Germany</t>
        </is>
      </c>
      <c r="F49" t="inlineStr">
        <is>
          <t>SWE</t>
        </is>
      </c>
      <c r="G49" t="inlineStr">
        <is>
          <t>Sweden</t>
        </is>
      </c>
      <c r="H49" t="inlineStr"/>
      <c r="I49" t="n">
        <v>-548000000</v>
      </c>
      <c r="J49" t="inlineStr"/>
      <c r="K49" t="n">
        <v>905</v>
      </c>
      <c r="L49" t="inlineStr"/>
      <c r="M49" t="n">
        <v>2000000</v>
      </c>
      <c r="N49" t="n">
        <v>1813000000</v>
      </c>
      <c r="O49" t="n">
        <v>-1407000000</v>
      </c>
      <c r="P49" t="inlineStr">
        <is>
          <t>EUR</t>
        </is>
      </c>
    </row>
    <row r="50">
      <c r="A50" t="inlineStr">
        <is>
          <t>UNIPER</t>
        </is>
      </c>
      <c r="B50" t="n">
        <v>2021</v>
      </c>
      <c r="C50" t="inlineStr">
        <is>
          <t>Utilities</t>
        </is>
      </c>
      <c r="D50" t="inlineStr">
        <is>
          <t>DEU</t>
        </is>
      </c>
      <c r="E50" t="inlineStr">
        <is>
          <t>Germany</t>
        </is>
      </c>
      <c r="F50" t="inlineStr">
        <is>
          <t>RUS</t>
        </is>
      </c>
      <c r="G50" t="inlineStr">
        <is>
          <t>Russia</t>
        </is>
      </c>
      <c r="H50" t="inlineStr"/>
      <c r="I50" t="n">
        <v>-49000000</v>
      </c>
      <c r="J50" t="inlineStr"/>
      <c r="K50" t="n">
        <v>4267</v>
      </c>
      <c r="L50" t="inlineStr"/>
      <c r="M50" t="n">
        <v>14000000</v>
      </c>
      <c r="N50" t="n">
        <v>2133000000</v>
      </c>
      <c r="O50" t="n">
        <v>1780000000</v>
      </c>
      <c r="P50" t="inlineStr">
        <is>
          <t>EUR</t>
        </is>
      </c>
    </row>
    <row r="51">
      <c r="A51" t="inlineStr">
        <is>
          <t>UNIPER</t>
        </is>
      </c>
      <c r="B51" t="n">
        <v>2021</v>
      </c>
      <c r="C51" t="inlineStr">
        <is>
          <t>Utilities</t>
        </is>
      </c>
      <c r="D51" t="inlineStr">
        <is>
          <t>DEU</t>
        </is>
      </c>
      <c r="E51" t="inlineStr">
        <is>
          <t>Germany</t>
        </is>
      </c>
      <c r="F51" t="inlineStr">
        <is>
          <t>GBR</t>
        </is>
      </c>
      <c r="G51" t="inlineStr">
        <is>
          <t>United Kingdom</t>
        </is>
      </c>
      <c r="H51" t="inlineStr"/>
      <c r="I51" t="n">
        <v>-538000000</v>
      </c>
      <c r="J51" t="inlineStr"/>
      <c r="K51" t="n">
        <v>992</v>
      </c>
      <c r="L51" t="inlineStr"/>
      <c r="M51" t="n">
        <v>0</v>
      </c>
      <c r="N51" t="n">
        <v>486000000</v>
      </c>
      <c r="O51" t="n">
        <v>401000000</v>
      </c>
      <c r="P51" t="inlineStr">
        <is>
          <t>EUR</t>
        </is>
      </c>
    </row>
    <row r="52">
      <c r="A52" t="inlineStr">
        <is>
          <t>UNIPER</t>
        </is>
      </c>
      <c r="B52" t="n">
        <v>2021</v>
      </c>
      <c r="C52" t="inlineStr">
        <is>
          <t>Utilities</t>
        </is>
      </c>
      <c r="D52" t="inlineStr">
        <is>
          <t>DEU</t>
        </is>
      </c>
      <c r="E52" t="inlineStr">
        <is>
          <t>Germany</t>
        </is>
      </c>
      <c r="F52" t="inlineStr">
        <is>
          <t>NLD</t>
        </is>
      </c>
      <c r="G52" t="inlineStr">
        <is>
          <t>Netherlands</t>
        </is>
      </c>
      <c r="H52" t="inlineStr"/>
      <c r="I52" t="n">
        <v>-330000000</v>
      </c>
      <c r="J52" t="inlineStr"/>
      <c r="K52" t="n">
        <v>324</v>
      </c>
      <c r="L52" t="inlineStr"/>
      <c r="M52" t="n">
        <v>0</v>
      </c>
      <c r="N52" t="n">
        <v>93000000</v>
      </c>
      <c r="O52" t="n">
        <v>-822000000</v>
      </c>
      <c r="P52" t="inlineStr">
        <is>
          <t>EUR</t>
        </is>
      </c>
    </row>
    <row r="53">
      <c r="A53" t="inlineStr">
        <is>
          <t>UNIPER</t>
        </is>
      </c>
      <c r="B53" t="n">
        <v>2021</v>
      </c>
      <c r="C53" t="inlineStr">
        <is>
          <t>Utilities</t>
        </is>
      </c>
      <c r="D53" t="inlineStr">
        <is>
          <t>DEU</t>
        </is>
      </c>
      <c r="E53" t="inlineStr">
        <is>
          <t>Germany</t>
        </is>
      </c>
      <c r="F53" t="inlineStr">
        <is>
          <t>USA</t>
        </is>
      </c>
      <c r="G53" t="inlineStr">
        <is>
          <t>United States of America</t>
        </is>
      </c>
      <c r="H53" t="inlineStr"/>
      <c r="I53" t="n">
        <v>225000000</v>
      </c>
      <c r="J53" t="inlineStr"/>
      <c r="K53" t="n">
        <v>80</v>
      </c>
      <c r="L53" t="inlineStr"/>
      <c r="M53" t="n">
        <v>29000000</v>
      </c>
      <c r="N53" t="n">
        <v>89000000</v>
      </c>
      <c r="O53" t="n">
        <v>49000000</v>
      </c>
      <c r="P53" t="inlineStr">
        <is>
          <t>EUR</t>
        </is>
      </c>
    </row>
    <row r="54">
      <c r="A54" t="inlineStr">
        <is>
          <t>UNIPER</t>
        </is>
      </c>
      <c r="B54" t="n">
        <v>2021</v>
      </c>
      <c r="C54" t="inlineStr">
        <is>
          <t>Utilities</t>
        </is>
      </c>
      <c r="D54" t="inlineStr">
        <is>
          <t>DEU</t>
        </is>
      </c>
      <c r="E54" t="inlineStr">
        <is>
          <t>Germany</t>
        </is>
      </c>
      <c r="F54" t="inlineStr">
        <is>
          <t>HUN</t>
        </is>
      </c>
      <c r="G54" t="inlineStr">
        <is>
          <t>Hungary</t>
        </is>
      </c>
      <c r="H54" t="inlineStr"/>
      <c r="I54" t="n">
        <v>-70000000</v>
      </c>
      <c r="J54" t="inlineStr"/>
      <c r="K54" t="n">
        <v>33</v>
      </c>
      <c r="L54" t="inlineStr"/>
      <c r="M54" t="n">
        <v>22000000</v>
      </c>
      <c r="N54" t="n">
        <v>7000000</v>
      </c>
      <c r="O54" t="n">
        <v>-84000000</v>
      </c>
      <c r="P54" t="inlineStr">
        <is>
          <t>EUR</t>
        </is>
      </c>
    </row>
    <row r="55">
      <c r="A55" t="inlineStr">
        <is>
          <t>UNIPER</t>
        </is>
      </c>
      <c r="B55" t="n">
        <v>2021</v>
      </c>
      <c r="C55" t="inlineStr">
        <is>
          <t>Utilities</t>
        </is>
      </c>
      <c r="D55" t="inlineStr">
        <is>
          <t>DEU</t>
        </is>
      </c>
      <c r="E55" t="inlineStr">
        <is>
          <t>Germany</t>
        </is>
      </c>
      <c r="F55" t="inlineStr">
        <is>
          <t>OTHER</t>
        </is>
      </c>
      <c r="G55" t="inlineStr">
        <is>
          <t>Other</t>
        </is>
      </c>
      <c r="H55" t="inlineStr"/>
      <c r="I55" t="n">
        <v>-59000000</v>
      </c>
      <c r="J55" t="inlineStr"/>
      <c r="K55" t="n">
        <v>62</v>
      </c>
      <c r="L55" t="inlineStr"/>
      <c r="M55" t="n">
        <v>-1000000</v>
      </c>
      <c r="N55" t="n">
        <v>432000000</v>
      </c>
      <c r="O55" t="n">
        <v>-72000000</v>
      </c>
      <c r="P55" t="inlineStr">
        <is>
          <t>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mnc</t>
        </is>
      </c>
      <c r="B1" s="1" t="inlineStr">
        <is>
          <t>year</t>
        </is>
      </c>
      <c r="C1" s="1" t="inlineStr">
        <is>
          <t>sector</t>
        </is>
      </c>
      <c r="D1" s="1" t="inlineStr">
        <is>
          <t>upe_code</t>
        </is>
      </c>
      <c r="E1" s="1" t="inlineStr">
        <is>
          <t>upe_name</t>
        </is>
      </c>
      <c r="F1" s="1" t="inlineStr">
        <is>
          <t>jur_code</t>
        </is>
      </c>
      <c r="G1" s="1" t="inlineStr">
        <is>
          <t>jur_name</t>
        </is>
      </c>
      <c r="H1" s="1" t="inlineStr">
        <is>
          <t>total_revenues</t>
        </is>
      </c>
      <c r="I1" s="1" t="inlineStr">
        <is>
          <t>profit_before_tax</t>
        </is>
      </c>
      <c r="J1" s="1" t="inlineStr">
        <is>
          <t>tax_paid</t>
        </is>
      </c>
      <c r="K1" s="1" t="inlineStr">
        <is>
          <t>employees</t>
        </is>
      </c>
      <c r="L1" s="1" t="inlineStr">
        <is>
          <t>tangible_assets</t>
        </is>
      </c>
      <c r="M1" s="1" t="inlineStr">
        <is>
          <t>tax_accrued</t>
        </is>
      </c>
      <c r="N1" s="1" t="inlineStr">
        <is>
          <t>stated_capital</t>
        </is>
      </c>
      <c r="O1" s="1" t="inlineStr">
        <is>
          <t>accumulated_earnings</t>
        </is>
      </c>
      <c r="P1" s="1" t="inlineStr">
        <is>
          <t>currency</t>
        </is>
      </c>
      <c r="Q1" s="1" t="inlineStr">
        <is>
          <t>ETR</t>
        </is>
      </c>
      <c r="R1" s="1" t="inlineStr">
        <is>
          <t>ln_profits</t>
        </is>
      </c>
      <c r="S1" s="1" t="inlineStr">
        <is>
          <t>ETR_sq</t>
        </is>
      </c>
    </row>
    <row r="2">
      <c r="A2" t="inlineStr">
        <is>
          <t>ALLIANZ</t>
        </is>
      </c>
      <c r="B2" t="n">
        <v>2021</v>
      </c>
      <c r="C2" t="inlineStr">
        <is>
          <t>Business and Financial Services</t>
        </is>
      </c>
      <c r="D2" t="inlineStr">
        <is>
          <t>DEU</t>
        </is>
      </c>
      <c r="E2" t="inlineStr">
        <is>
          <t>Germany</t>
        </is>
      </c>
      <c r="F2" t="inlineStr">
        <is>
          <t>DEU</t>
        </is>
      </c>
      <c r="G2" t="inlineStr">
        <is>
          <t>Germany</t>
        </is>
      </c>
      <c r="H2" t="n">
        <v>54357000000</v>
      </c>
      <c r="I2" t="n">
        <v>2128500000</v>
      </c>
      <c r="J2" t="n">
        <v>735700000</v>
      </c>
      <c r="K2" t="n">
        <v>46081</v>
      </c>
      <c r="L2" t="n">
        <v>5143300000</v>
      </c>
      <c r="M2" t="n">
        <v>513500000</v>
      </c>
      <c r="N2" t="inlineStr"/>
      <c r="O2" t="inlineStr"/>
      <c r="P2" t="inlineStr">
        <is>
          <t>EUR</t>
        </is>
      </c>
      <c r="Q2" t="n">
        <v>0.2412497063659854</v>
      </c>
      <c r="R2" t="n">
        <v>21.47868334323248</v>
      </c>
      <c r="S2" t="n">
        <v>0.0582014208216742</v>
      </c>
    </row>
    <row r="3">
      <c r="A3" t="inlineStr">
        <is>
          <t>ALLIANZ</t>
        </is>
      </c>
      <c r="B3" t="n">
        <v>2021</v>
      </c>
      <c r="C3" t="inlineStr">
        <is>
          <t>Business and Financial Services</t>
        </is>
      </c>
      <c r="D3" t="inlineStr">
        <is>
          <t>DEU</t>
        </is>
      </c>
      <c r="E3" t="inlineStr">
        <is>
          <t>Germany</t>
        </is>
      </c>
      <c r="F3" t="inlineStr">
        <is>
          <t>FRA</t>
        </is>
      </c>
      <c r="G3" t="inlineStr">
        <is>
          <t>France</t>
        </is>
      </c>
      <c r="H3" t="n">
        <v>14235800000</v>
      </c>
      <c r="I3" t="n">
        <v>753100000</v>
      </c>
      <c r="J3" t="n">
        <v>203200000</v>
      </c>
      <c r="K3" t="n">
        <v>26239</v>
      </c>
      <c r="L3" t="n">
        <v>4382100000</v>
      </c>
      <c r="M3" t="n">
        <v>184300000</v>
      </c>
      <c r="N3" t="inlineStr"/>
      <c r="O3" t="inlineStr"/>
      <c r="P3" t="inlineStr">
        <is>
          <t>EUR</t>
        </is>
      </c>
      <c r="Q3" t="n">
        <v>0.2447218164918337</v>
      </c>
      <c r="R3" t="n">
        <v>20.43970857907158</v>
      </c>
      <c r="S3" t="n">
        <v>0.05988876746706275</v>
      </c>
    </row>
    <row r="4">
      <c r="A4" t="inlineStr">
        <is>
          <t>ALLIANZ</t>
        </is>
      </c>
      <c r="B4" t="n">
        <v>2021</v>
      </c>
      <c r="C4" t="inlineStr">
        <is>
          <t>Business and Financial Services</t>
        </is>
      </c>
      <c r="D4" t="inlineStr">
        <is>
          <t>DEU</t>
        </is>
      </c>
      <c r="E4" t="inlineStr">
        <is>
          <t>Germany</t>
        </is>
      </c>
      <c r="F4" t="inlineStr">
        <is>
          <t>ITA</t>
        </is>
      </c>
      <c r="G4" t="inlineStr">
        <is>
          <t>Italy</t>
        </is>
      </c>
      <c r="H4" t="n">
        <v>6365000000</v>
      </c>
      <c r="I4" t="n">
        <v>810000000</v>
      </c>
      <c r="J4" t="n">
        <v>245800000</v>
      </c>
      <c r="K4" t="n">
        <v>4876</v>
      </c>
      <c r="L4" t="n">
        <v>1230300000</v>
      </c>
      <c r="M4" t="n">
        <v>218100000</v>
      </c>
      <c r="N4" t="inlineStr"/>
      <c r="O4" t="inlineStr"/>
      <c r="P4" t="inlineStr">
        <is>
          <t>EUR</t>
        </is>
      </c>
      <c r="Q4" t="n">
        <v>0.2692592592592593</v>
      </c>
      <c r="R4" t="n">
        <v>20.51254480563076</v>
      </c>
      <c r="S4" t="n">
        <v>0.072500548696845</v>
      </c>
    </row>
    <row r="5">
      <c r="A5" t="inlineStr">
        <is>
          <t>ALLIANZ</t>
        </is>
      </c>
      <c r="B5" t="n">
        <v>2021</v>
      </c>
      <c r="C5" t="inlineStr">
        <is>
          <t>Business and Financial Services</t>
        </is>
      </c>
      <c r="D5" t="inlineStr">
        <is>
          <t>DEU</t>
        </is>
      </c>
      <c r="E5" t="inlineStr">
        <is>
          <t>Germany</t>
        </is>
      </c>
      <c r="F5" t="inlineStr">
        <is>
          <t>IRL</t>
        </is>
      </c>
      <c r="G5" t="inlineStr">
        <is>
          <t>Ireland</t>
        </is>
      </c>
      <c r="H5" t="n">
        <v>5041400000</v>
      </c>
      <c r="I5" t="n">
        <v>361700000</v>
      </c>
      <c r="J5" t="n">
        <v>60500000</v>
      </c>
      <c r="K5" t="n">
        <v>854</v>
      </c>
      <c r="L5" t="n">
        <v>13400000</v>
      </c>
      <c r="M5" t="n">
        <v>62800000</v>
      </c>
      <c r="N5" t="inlineStr"/>
      <c r="O5" t="inlineStr"/>
      <c r="P5" t="inlineStr">
        <is>
          <t>EUR</t>
        </is>
      </c>
      <c r="Q5" t="n">
        <v>0.1736245507326514</v>
      </c>
      <c r="R5" t="n">
        <v>19.70632569692233</v>
      </c>
      <c r="S5" t="n">
        <v>0.03014548461711503</v>
      </c>
    </row>
    <row r="6">
      <c r="A6" t="inlineStr">
        <is>
          <t>ALLIANZ</t>
        </is>
      </c>
      <c r="B6" t="n">
        <v>2021</v>
      </c>
      <c r="C6" t="inlineStr">
        <is>
          <t>Business and Financial Services</t>
        </is>
      </c>
      <c r="D6" t="inlineStr">
        <is>
          <t>DEU</t>
        </is>
      </c>
      <c r="E6" t="inlineStr">
        <is>
          <t>Germany</t>
        </is>
      </c>
      <c r="F6" t="inlineStr">
        <is>
          <t>CHE</t>
        </is>
      </c>
      <c r="G6" t="inlineStr">
        <is>
          <t>Switzerland</t>
        </is>
      </c>
      <c r="H6" t="n">
        <v>3804900000</v>
      </c>
      <c r="I6" t="n">
        <v>673300000</v>
      </c>
      <c r="J6" t="n">
        <v>77500000</v>
      </c>
      <c r="K6" t="n">
        <v>2824</v>
      </c>
      <c r="L6" t="n">
        <v>2903400000</v>
      </c>
      <c r="M6" t="n">
        <v>110800000</v>
      </c>
      <c r="N6" t="inlineStr"/>
      <c r="O6" t="inlineStr"/>
      <c r="P6" t="inlineStr">
        <is>
          <t>EUR</t>
        </is>
      </c>
      <c r="Q6" t="n">
        <v>0.1645626021090153</v>
      </c>
      <c r="R6" t="n">
        <v>20.32770155351551</v>
      </c>
      <c r="S6" t="n">
        <v>0.02708085001289008</v>
      </c>
    </row>
    <row r="7">
      <c r="A7" t="inlineStr">
        <is>
          <t>ALLIANZ</t>
        </is>
      </c>
      <c r="B7" t="n">
        <v>2021</v>
      </c>
      <c r="C7" t="inlineStr">
        <is>
          <t>Business and Financial Services</t>
        </is>
      </c>
      <c r="D7" t="inlineStr">
        <is>
          <t>DEU</t>
        </is>
      </c>
      <c r="E7" t="inlineStr">
        <is>
          <t>Germany</t>
        </is>
      </c>
      <c r="F7" t="inlineStr">
        <is>
          <t>GBR</t>
        </is>
      </c>
      <c r="G7" t="inlineStr">
        <is>
          <t>United Kingdom</t>
        </is>
      </c>
      <c r="H7" t="n">
        <v>3608200000</v>
      </c>
      <c r="I7" t="n">
        <v>149100000</v>
      </c>
      <c r="J7" t="n">
        <v>21600000</v>
      </c>
      <c r="K7" t="n">
        <v>8541</v>
      </c>
      <c r="L7" t="n">
        <v>568700000</v>
      </c>
      <c r="M7" t="n">
        <v>26900000</v>
      </c>
      <c r="N7" t="inlineStr"/>
      <c r="O7" t="inlineStr"/>
      <c r="P7" t="inlineStr">
        <is>
          <t>EUR</t>
        </is>
      </c>
      <c r="Q7" t="n">
        <v>0.1804158283031523</v>
      </c>
      <c r="R7" t="n">
        <v>18.82012777973497</v>
      </c>
      <c r="S7" t="n">
        <v>0.03254987110231251</v>
      </c>
    </row>
    <row r="8">
      <c r="A8" t="inlineStr">
        <is>
          <t>ALLIANZ</t>
        </is>
      </c>
      <c r="B8" t="n">
        <v>2021</v>
      </c>
      <c r="C8" t="inlineStr">
        <is>
          <t>Business and Financial Services</t>
        </is>
      </c>
      <c r="D8" t="inlineStr">
        <is>
          <t>DEU</t>
        </is>
      </c>
      <c r="E8" t="inlineStr">
        <is>
          <t>Germany</t>
        </is>
      </c>
      <c r="F8" t="inlineStr">
        <is>
          <t>ESP</t>
        </is>
      </c>
      <c r="G8" t="inlineStr">
        <is>
          <t>Spain</t>
        </is>
      </c>
      <c r="H8" t="n">
        <v>2599100000</v>
      </c>
      <c r="I8" t="n">
        <v>173300000</v>
      </c>
      <c r="J8" t="n">
        <v>59200000</v>
      </c>
      <c r="K8" t="n">
        <v>3666</v>
      </c>
      <c r="L8" t="n">
        <v>223300000</v>
      </c>
      <c r="M8" t="n">
        <v>45600000</v>
      </c>
      <c r="N8" t="inlineStr"/>
      <c r="O8" t="inlineStr"/>
      <c r="P8" t="inlineStr">
        <is>
          <t>EUR</t>
        </is>
      </c>
      <c r="Q8" t="n">
        <v>0.2631275245239469</v>
      </c>
      <c r="R8" t="n">
        <v>18.97053475468584</v>
      </c>
      <c r="S8" t="n">
        <v>0.06923609416210028</v>
      </c>
    </row>
    <row r="9">
      <c r="A9" t="inlineStr">
        <is>
          <t>ALLIANZ</t>
        </is>
      </c>
      <c r="B9" t="n">
        <v>2021</v>
      </c>
      <c r="C9" t="inlineStr">
        <is>
          <t>Business and Financial Services</t>
        </is>
      </c>
      <c r="D9" t="inlineStr">
        <is>
          <t>DEU</t>
        </is>
      </c>
      <c r="E9" t="inlineStr">
        <is>
          <t>Germany</t>
        </is>
      </c>
      <c r="F9" t="inlineStr">
        <is>
          <t>NLD</t>
        </is>
      </c>
      <c r="G9" t="inlineStr">
        <is>
          <t>Netherlands</t>
        </is>
      </c>
      <c r="H9" t="n">
        <v>1982200000</v>
      </c>
      <c r="I9" t="n">
        <v>386200000</v>
      </c>
      <c r="J9" t="n">
        <v>61100000</v>
      </c>
      <c r="K9" t="n">
        <v>2083</v>
      </c>
      <c r="L9" t="n">
        <v>23000000</v>
      </c>
      <c r="M9" t="n">
        <v>66200000</v>
      </c>
      <c r="N9" t="inlineStr"/>
      <c r="O9" t="inlineStr"/>
      <c r="P9" t="inlineStr">
        <is>
          <t>EUR</t>
        </is>
      </c>
      <c r="Q9" t="n">
        <v>0.1714137752459865</v>
      </c>
      <c r="R9" t="n">
        <v>19.77186592795869</v>
      </c>
      <c r="S9" t="n">
        <v>0.02938268234408158</v>
      </c>
    </row>
    <row r="10">
      <c r="A10" t="inlineStr">
        <is>
          <t>ALLIANZ</t>
        </is>
      </c>
      <c r="B10" t="n">
        <v>2021</v>
      </c>
      <c r="C10" t="inlineStr">
        <is>
          <t>Business and Financial Services</t>
        </is>
      </c>
      <c r="D10" t="inlineStr">
        <is>
          <t>DEU</t>
        </is>
      </c>
      <c r="E10" t="inlineStr">
        <is>
          <t>Germany</t>
        </is>
      </c>
      <c r="F10" t="inlineStr">
        <is>
          <t>AUT</t>
        </is>
      </c>
      <c r="G10" t="inlineStr">
        <is>
          <t>Austria</t>
        </is>
      </c>
      <c r="H10" t="n">
        <v>1741700000</v>
      </c>
      <c r="I10" t="n">
        <v>169800000</v>
      </c>
      <c r="J10" t="n">
        <v>74600000</v>
      </c>
      <c r="K10" t="n">
        <v>2920</v>
      </c>
      <c r="L10" t="n">
        <v>218300000</v>
      </c>
      <c r="M10" t="n">
        <v>49500000</v>
      </c>
      <c r="N10" t="inlineStr"/>
      <c r="O10" t="inlineStr"/>
      <c r="P10" t="inlineStr">
        <is>
          <t>EUR</t>
        </is>
      </c>
      <c r="Q10" t="n">
        <v>0.2915194346289753</v>
      </c>
      <c r="R10" t="n">
        <v>18.95013183184152</v>
      </c>
      <c r="S10" t="n">
        <v>0.08498358076639739</v>
      </c>
    </row>
    <row r="11">
      <c r="A11" t="inlineStr">
        <is>
          <t>ALLIANZ</t>
        </is>
      </c>
      <c r="B11" t="n">
        <v>2021</v>
      </c>
      <c r="C11" t="inlineStr">
        <is>
          <t>Business and Financial Services</t>
        </is>
      </c>
      <c r="D11" t="inlineStr">
        <is>
          <t>DEU</t>
        </is>
      </c>
      <c r="E11" t="inlineStr">
        <is>
          <t>Germany</t>
        </is>
      </c>
      <c r="F11" t="inlineStr">
        <is>
          <t>LUX</t>
        </is>
      </c>
      <c r="G11" t="inlineStr">
        <is>
          <t>Luxembourg</t>
        </is>
      </c>
      <c r="H11" t="n">
        <v>1614400000</v>
      </c>
      <c r="I11" t="n">
        <v>975200000</v>
      </c>
      <c r="J11" t="n">
        <v>96300000</v>
      </c>
      <c r="K11" t="n">
        <v>89</v>
      </c>
      <c r="L11" t="n">
        <v>5789900000</v>
      </c>
      <c r="M11" t="n">
        <v>146100000</v>
      </c>
      <c r="N11" t="inlineStr"/>
      <c r="O11" t="inlineStr"/>
      <c r="P11" t="inlineStr">
        <is>
          <t>EUR</t>
        </is>
      </c>
      <c r="Q11" t="n">
        <v>0.1498154224774405</v>
      </c>
      <c r="R11" t="n">
        <v>20.69815313613134</v>
      </c>
      <c r="S11" t="n">
        <v>0.02244466081209399</v>
      </c>
    </row>
    <row r="12">
      <c r="A12" t="inlineStr">
        <is>
          <t>ALLIANZ</t>
        </is>
      </c>
      <c r="B12" t="n">
        <v>2021</v>
      </c>
      <c r="C12" t="inlineStr">
        <is>
          <t>Business and Financial Services</t>
        </is>
      </c>
      <c r="D12" t="inlineStr">
        <is>
          <t>DEU</t>
        </is>
      </c>
      <c r="E12" t="inlineStr">
        <is>
          <t>Germany</t>
        </is>
      </c>
      <c r="F12" t="inlineStr">
        <is>
          <t>CHN</t>
        </is>
      </c>
      <c r="G12" t="inlineStr">
        <is>
          <t>China</t>
        </is>
      </c>
      <c r="H12" t="n">
        <v>1329400000</v>
      </c>
      <c r="I12" t="n">
        <v>33300000</v>
      </c>
      <c r="J12" t="n">
        <v>3100000</v>
      </c>
      <c r="K12" t="n">
        <v>1575</v>
      </c>
      <c r="L12" t="n">
        <v>6400000</v>
      </c>
      <c r="M12" t="n">
        <v>12000000</v>
      </c>
      <c r="N12" t="inlineStr"/>
      <c r="O12" t="inlineStr"/>
      <c r="P12" t="inlineStr">
        <is>
          <t>EUR</t>
        </is>
      </c>
      <c r="Q12" t="n">
        <v>0.3603603603603603</v>
      </c>
      <c r="R12" t="n">
        <v>17.32106795495067</v>
      </c>
      <c r="S12" t="n">
        <v>0.1298595893190488</v>
      </c>
    </row>
    <row r="13">
      <c r="A13" t="inlineStr">
        <is>
          <t>ALLIANZ</t>
        </is>
      </c>
      <c r="B13" t="n">
        <v>2021</v>
      </c>
      <c r="C13" t="inlineStr">
        <is>
          <t>Business and Financial Services</t>
        </is>
      </c>
      <c r="D13" t="inlineStr">
        <is>
          <t>DEU</t>
        </is>
      </c>
      <c r="E13" t="inlineStr">
        <is>
          <t>Germany</t>
        </is>
      </c>
      <c r="F13" t="inlineStr">
        <is>
          <t>THA</t>
        </is>
      </c>
      <c r="G13" t="inlineStr">
        <is>
          <t>Thailand</t>
        </is>
      </c>
      <c r="H13" t="n">
        <v>1201300000</v>
      </c>
      <c r="I13" t="n">
        <v>161800000</v>
      </c>
      <c r="J13" t="n">
        <v>32100000</v>
      </c>
      <c r="K13" t="n">
        <v>2389</v>
      </c>
      <c r="L13" t="n">
        <v>19200000</v>
      </c>
      <c r="M13" t="n">
        <v>28300000</v>
      </c>
      <c r="N13" t="inlineStr"/>
      <c r="O13" t="inlineStr"/>
      <c r="P13" t="inlineStr">
        <is>
          <t>EUR</t>
        </is>
      </c>
      <c r="Q13" t="n">
        <v>0.1749072929542645</v>
      </c>
      <c r="R13" t="n">
        <v>18.90187156258867</v>
      </c>
      <c r="S13" t="n">
        <v>0.03059256112858891</v>
      </c>
    </row>
    <row r="14">
      <c r="A14" t="inlineStr">
        <is>
          <t>ALLIANZ</t>
        </is>
      </c>
      <c r="B14" t="n">
        <v>2021</v>
      </c>
      <c r="C14" t="inlineStr">
        <is>
          <t>Business and Financial Services</t>
        </is>
      </c>
      <c r="D14" t="inlineStr">
        <is>
          <t>DEU</t>
        </is>
      </c>
      <c r="E14" t="inlineStr">
        <is>
          <t>Germany</t>
        </is>
      </c>
      <c r="F14" t="inlineStr">
        <is>
          <t>TUR</t>
        </is>
      </c>
      <c r="G14" t="inlineStr">
        <is>
          <t>Turkey</t>
        </is>
      </c>
      <c r="H14" t="n">
        <v>1168700000</v>
      </c>
      <c r="I14" t="n">
        <v>209400000</v>
      </c>
      <c r="J14" t="n">
        <v>45700000</v>
      </c>
      <c r="K14" t="n">
        <v>2392</v>
      </c>
      <c r="L14" t="n">
        <v>40500000</v>
      </c>
      <c r="M14" t="n">
        <v>48800000</v>
      </c>
      <c r="N14" t="inlineStr"/>
      <c r="O14" t="inlineStr"/>
      <c r="P14" t="inlineStr">
        <is>
          <t>EUR</t>
        </is>
      </c>
      <c r="Q14" t="n">
        <v>0.2330468003820439</v>
      </c>
      <c r="R14" t="n">
        <v>19.15975685640071</v>
      </c>
      <c r="S14" t="n">
        <v>0.05431081116830823</v>
      </c>
    </row>
    <row r="15">
      <c r="A15" t="inlineStr">
        <is>
          <t>ALLIANZ</t>
        </is>
      </c>
      <c r="B15" t="n">
        <v>2021</v>
      </c>
      <c r="C15" t="inlineStr">
        <is>
          <t>Business and Financial Services</t>
        </is>
      </c>
      <c r="D15" t="inlineStr">
        <is>
          <t>DEU</t>
        </is>
      </c>
      <c r="E15" t="inlineStr">
        <is>
          <t>Germany</t>
        </is>
      </c>
      <c r="F15" t="inlineStr">
        <is>
          <t>TWN</t>
        </is>
      </c>
      <c r="G15" t="inlineStr">
        <is>
          <t>Taiwan</t>
        </is>
      </c>
      <c r="H15" t="n">
        <v>948600000</v>
      </c>
      <c r="I15" t="n">
        <v>134300000</v>
      </c>
      <c r="J15" t="n">
        <v>6800000</v>
      </c>
      <c r="K15" t="n">
        <v>801</v>
      </c>
      <c r="L15" t="n">
        <v>13300000</v>
      </c>
      <c r="M15" t="n">
        <v>8500000</v>
      </c>
      <c r="N15" t="inlineStr"/>
      <c r="O15" t="inlineStr"/>
      <c r="P15" t="inlineStr">
        <is>
          <t>EUR</t>
        </is>
      </c>
      <c r="Q15" t="n">
        <v>0.06329113924050633</v>
      </c>
      <c r="R15" t="n">
        <v>18.71558666149346</v>
      </c>
      <c r="S15" t="n">
        <v>0.00400576830636116</v>
      </c>
    </row>
    <row r="16">
      <c r="A16" t="inlineStr">
        <is>
          <t>ALLIANZ</t>
        </is>
      </c>
      <c r="B16" t="n">
        <v>2021</v>
      </c>
      <c r="C16" t="inlineStr">
        <is>
          <t>Business and Financial Services</t>
        </is>
      </c>
      <c r="D16" t="inlineStr">
        <is>
          <t>DEU</t>
        </is>
      </c>
      <c r="E16" t="inlineStr">
        <is>
          <t>Germany</t>
        </is>
      </c>
      <c r="F16" t="inlineStr">
        <is>
          <t>MYS</t>
        </is>
      </c>
      <c r="G16" t="inlineStr">
        <is>
          <t>Malaysia</t>
        </is>
      </c>
      <c r="H16" t="n">
        <v>899000000</v>
      </c>
      <c r="I16" t="n">
        <v>152400000</v>
      </c>
      <c r="J16" t="n">
        <v>33000000</v>
      </c>
      <c r="K16" t="n">
        <v>1902</v>
      </c>
      <c r="L16" t="n">
        <v>15600000</v>
      </c>
      <c r="M16" t="n">
        <v>28600000</v>
      </c>
      <c r="N16" t="inlineStr"/>
      <c r="O16" t="inlineStr"/>
      <c r="P16" t="inlineStr">
        <is>
          <t>EUR</t>
        </is>
      </c>
      <c r="Q16" t="n">
        <v>0.1876640419947506</v>
      </c>
      <c r="R16" t="n">
        <v>18.84201920121682</v>
      </c>
      <c r="S16" t="n">
        <v>0.03521779265780754</v>
      </c>
    </row>
    <row r="17">
      <c r="A17" t="inlineStr">
        <is>
          <t>ALLIANZ</t>
        </is>
      </c>
      <c r="B17" t="n">
        <v>2021</v>
      </c>
      <c r="C17" t="inlineStr">
        <is>
          <t>Business and Financial Services</t>
        </is>
      </c>
      <c r="D17" t="inlineStr">
        <is>
          <t>DEU</t>
        </is>
      </c>
      <c r="E17" t="inlineStr">
        <is>
          <t>Germany</t>
        </is>
      </c>
      <c r="F17" t="inlineStr">
        <is>
          <t>CZE</t>
        </is>
      </c>
      <c r="G17" t="inlineStr">
        <is>
          <t>Czechia</t>
        </is>
      </c>
      <c r="H17" t="n">
        <v>649800000</v>
      </c>
      <c r="I17" t="n">
        <v>83200000</v>
      </c>
      <c r="J17" t="n">
        <v>27200000</v>
      </c>
      <c r="K17" t="n">
        <v>891</v>
      </c>
      <c r="L17" t="n">
        <v>62600000</v>
      </c>
      <c r="M17" t="n">
        <v>28100000</v>
      </c>
      <c r="N17" t="inlineStr"/>
      <c r="O17" t="inlineStr"/>
      <c r="P17" t="inlineStr">
        <is>
          <t>EUR</t>
        </is>
      </c>
      <c r="Q17" t="n">
        <v>0.3377403846153846</v>
      </c>
      <c r="R17" t="n">
        <v>18.23675790579144</v>
      </c>
      <c r="S17" t="n">
        <v>0.1140685674001479</v>
      </c>
    </row>
    <row r="18">
      <c r="A18" t="inlineStr">
        <is>
          <t>ALLIANZ</t>
        </is>
      </c>
      <c r="B18" t="n">
        <v>2021</v>
      </c>
      <c r="C18" t="inlineStr">
        <is>
          <t>Business and Financial Services</t>
        </is>
      </c>
      <c r="D18" t="inlineStr">
        <is>
          <t>DEU</t>
        </is>
      </c>
      <c r="E18" t="inlineStr">
        <is>
          <t>Germany</t>
        </is>
      </c>
      <c r="F18" t="inlineStr">
        <is>
          <t>SVK</t>
        </is>
      </c>
      <c r="G18" t="inlineStr">
        <is>
          <t>Slovakia</t>
        </is>
      </c>
      <c r="H18" t="n">
        <v>612800000</v>
      </c>
      <c r="I18" t="n">
        <v>140900000</v>
      </c>
      <c r="J18" t="n">
        <v>40500000</v>
      </c>
      <c r="K18" t="n">
        <v>1128</v>
      </c>
      <c r="L18" t="n">
        <v>69900000</v>
      </c>
      <c r="M18" t="n">
        <v>35400000</v>
      </c>
      <c r="N18" t="inlineStr"/>
      <c r="O18" t="inlineStr"/>
      <c r="P18" t="inlineStr">
        <is>
          <t>EUR</t>
        </is>
      </c>
      <c r="Q18" t="n">
        <v>0.2512420156139106</v>
      </c>
      <c r="R18" t="n">
        <v>18.76356097686891</v>
      </c>
      <c r="S18" t="n">
        <v>0.06312255040974049</v>
      </c>
    </row>
    <row r="19">
      <c r="A19" t="inlineStr">
        <is>
          <t>ALLIANZ</t>
        </is>
      </c>
      <c r="B19" t="n">
        <v>2021</v>
      </c>
      <c r="C19" t="inlineStr">
        <is>
          <t>Business and Financial Services</t>
        </is>
      </c>
      <c r="D19" t="inlineStr">
        <is>
          <t>DEU</t>
        </is>
      </c>
      <c r="E19" t="inlineStr">
        <is>
          <t>Germany</t>
        </is>
      </c>
      <c r="F19" t="inlineStr">
        <is>
          <t>POL</t>
        </is>
      </c>
      <c r="G19" t="inlineStr">
        <is>
          <t>Poland</t>
        </is>
      </c>
      <c r="H19" t="n">
        <v>591400000</v>
      </c>
      <c r="I19" t="n">
        <v>89500000</v>
      </c>
      <c r="J19" t="n">
        <v>15300000</v>
      </c>
      <c r="K19" t="n">
        <v>5616</v>
      </c>
      <c r="L19" t="n">
        <v>30500000</v>
      </c>
      <c r="M19" t="n">
        <v>16500000</v>
      </c>
      <c r="N19" t="inlineStr"/>
      <c r="O19" t="inlineStr"/>
      <c r="P19" t="inlineStr">
        <is>
          <t>EUR</t>
        </is>
      </c>
      <c r="Q19" t="n">
        <v>0.1843575418994413</v>
      </c>
      <c r="R19" t="n">
        <v>18.30974918324508</v>
      </c>
      <c r="S19" t="n">
        <v>0.03398770325520427</v>
      </c>
    </row>
    <row r="20">
      <c r="A20" t="inlineStr">
        <is>
          <t>ALLIANZ</t>
        </is>
      </c>
      <c r="B20" t="n">
        <v>2021</v>
      </c>
      <c r="C20" t="inlineStr">
        <is>
          <t>Business and Financial Services</t>
        </is>
      </c>
      <c r="D20" t="inlineStr">
        <is>
          <t>DEU</t>
        </is>
      </c>
      <c r="E20" t="inlineStr">
        <is>
          <t>Germany</t>
        </is>
      </c>
      <c r="F20" t="inlineStr">
        <is>
          <t>HKG</t>
        </is>
      </c>
      <c r="G20" t="inlineStr">
        <is>
          <t>Hong Kong</t>
        </is>
      </c>
      <c r="H20" t="n">
        <v>552600000</v>
      </c>
      <c r="I20" t="n">
        <v>95000000</v>
      </c>
      <c r="J20" t="n">
        <v>9900000</v>
      </c>
      <c r="K20" t="n">
        <v>191</v>
      </c>
      <c r="L20" t="n">
        <v>0</v>
      </c>
      <c r="M20" t="n">
        <v>16700000</v>
      </c>
      <c r="N20" t="inlineStr"/>
      <c r="O20" t="inlineStr"/>
      <c r="P20" t="inlineStr">
        <is>
          <t>EUR</t>
        </is>
      </c>
      <c r="Q20" t="n">
        <v>0.1757894736842105</v>
      </c>
      <c r="R20" t="n">
        <v>18.36938744956482</v>
      </c>
      <c r="S20" t="n">
        <v>0.03090193905817174</v>
      </c>
    </row>
    <row r="21">
      <c r="A21" t="inlineStr">
        <is>
          <t>ALLIANZ</t>
        </is>
      </c>
      <c r="B21" t="n">
        <v>2021</v>
      </c>
      <c r="C21" t="inlineStr">
        <is>
          <t>Business and Financial Services</t>
        </is>
      </c>
      <c r="D21" t="inlineStr">
        <is>
          <t>DEU</t>
        </is>
      </c>
      <c r="E21" t="inlineStr">
        <is>
          <t>Germany</t>
        </is>
      </c>
      <c r="F21" t="inlineStr">
        <is>
          <t>PRT</t>
        </is>
      </c>
      <c r="G21" t="inlineStr">
        <is>
          <t>Portugal</t>
        </is>
      </c>
      <c r="H21" t="n">
        <v>536700000</v>
      </c>
      <c r="I21" t="n">
        <v>54500000</v>
      </c>
      <c r="J21" t="n">
        <v>22300000</v>
      </c>
      <c r="K21" t="n">
        <v>631</v>
      </c>
      <c r="L21" t="n">
        <v>26400000</v>
      </c>
      <c r="M21" t="n">
        <v>14400000</v>
      </c>
      <c r="N21" t="inlineStr"/>
      <c r="O21" t="inlineStr"/>
      <c r="P21" t="inlineStr">
        <is>
          <t>EUR</t>
        </is>
      </c>
      <c r="Q21" t="n">
        <v>0.2642201834862385</v>
      </c>
      <c r="R21" t="n">
        <v>17.81371125963347</v>
      </c>
      <c r="S21" t="n">
        <v>0.06981230536150157</v>
      </c>
    </row>
    <row r="22">
      <c r="A22" t="inlineStr">
        <is>
          <t>ALLIANZ</t>
        </is>
      </c>
      <c r="B22" t="n">
        <v>2021</v>
      </c>
      <c r="C22" t="inlineStr">
        <is>
          <t>Business and Financial Services</t>
        </is>
      </c>
      <c r="D22" t="inlineStr">
        <is>
          <t>DEU</t>
        </is>
      </c>
      <c r="E22" t="inlineStr">
        <is>
          <t>Germany</t>
        </is>
      </c>
      <c r="F22" t="inlineStr">
        <is>
          <t>MEX</t>
        </is>
      </c>
      <c r="G22" t="inlineStr">
        <is>
          <t>Mexico</t>
        </is>
      </c>
      <c r="H22" t="n">
        <v>455100000</v>
      </c>
      <c r="I22" t="n">
        <v>54700000</v>
      </c>
      <c r="J22" t="n">
        <v>14800000</v>
      </c>
      <c r="K22" t="n">
        <v>473</v>
      </c>
      <c r="L22" t="n">
        <v>4600000</v>
      </c>
      <c r="M22" t="n">
        <v>13900000</v>
      </c>
      <c r="N22" t="inlineStr"/>
      <c r="O22" t="inlineStr"/>
      <c r="P22" t="inlineStr">
        <is>
          <t>EUR</t>
        </is>
      </c>
      <c r="Q22" t="n">
        <v>0.2541133455210238</v>
      </c>
      <c r="R22" t="n">
        <v>17.81737426739221</v>
      </c>
      <c r="S22" t="n">
        <v>0.06457359237188721</v>
      </c>
    </row>
    <row r="23">
      <c r="A23" t="inlineStr">
        <is>
          <t>ALLIANZ</t>
        </is>
      </c>
      <c r="B23" t="n">
        <v>2021</v>
      </c>
      <c r="C23" t="inlineStr">
        <is>
          <t>Business and Financial Services</t>
        </is>
      </c>
      <c r="D23" t="inlineStr">
        <is>
          <t>DEU</t>
        </is>
      </c>
      <c r="E23" t="inlineStr">
        <is>
          <t>Germany</t>
        </is>
      </c>
      <c r="F23" t="inlineStr">
        <is>
          <t>IDN</t>
        </is>
      </c>
      <c r="G23" t="inlineStr">
        <is>
          <t>Indonesia</t>
        </is>
      </c>
      <c r="H23" t="n">
        <v>444100000</v>
      </c>
      <c r="I23" t="n">
        <v>80400000</v>
      </c>
      <c r="J23" t="n">
        <v>21500000</v>
      </c>
      <c r="K23" t="n">
        <v>1269</v>
      </c>
      <c r="L23" t="n">
        <v>14100000</v>
      </c>
      <c r="M23" t="n">
        <v>12400000</v>
      </c>
      <c r="N23" t="inlineStr"/>
      <c r="O23" t="inlineStr"/>
      <c r="P23" t="inlineStr">
        <is>
          <t>EUR</t>
        </is>
      </c>
      <c r="Q23" t="n">
        <v>0.154228855721393</v>
      </c>
      <c r="R23" t="n">
        <v>18.20252473414919</v>
      </c>
      <c r="S23" t="n">
        <v>0.02378653993713027</v>
      </c>
    </row>
    <row r="24">
      <c r="A24" t="inlineStr">
        <is>
          <t>ALLIANZ</t>
        </is>
      </c>
      <c r="B24" t="n">
        <v>2021</v>
      </c>
      <c r="C24" t="inlineStr">
        <is>
          <t>Business and Financial Services</t>
        </is>
      </c>
      <c r="D24" t="inlineStr">
        <is>
          <t>DEU</t>
        </is>
      </c>
      <c r="E24" t="inlineStr">
        <is>
          <t>Germany</t>
        </is>
      </c>
      <c r="F24" t="inlineStr">
        <is>
          <t>HUN</t>
        </is>
      </c>
      <c r="G24" t="inlineStr">
        <is>
          <t>Hungary</t>
        </is>
      </c>
      <c r="H24" t="n">
        <v>395300000</v>
      </c>
      <c r="I24" t="n">
        <v>71600000</v>
      </c>
      <c r="J24" t="n">
        <v>10900000</v>
      </c>
      <c r="K24" t="n">
        <v>953</v>
      </c>
      <c r="L24" t="n">
        <v>31300000</v>
      </c>
      <c r="M24" t="n">
        <v>12000000</v>
      </c>
      <c r="N24" t="inlineStr"/>
      <c r="O24" t="inlineStr"/>
      <c r="P24" t="inlineStr">
        <is>
          <t>EUR</t>
        </is>
      </c>
      <c r="Q24" t="n">
        <v>0.1675977653631285</v>
      </c>
      <c r="R24" t="n">
        <v>18.08660563193087</v>
      </c>
      <c r="S24" t="n">
        <v>0.02808901095471427</v>
      </c>
    </row>
    <row r="25">
      <c r="A25" t="inlineStr">
        <is>
          <t>ALLIANZ</t>
        </is>
      </c>
      <c r="B25" t="n">
        <v>2021</v>
      </c>
      <c r="C25" t="inlineStr">
        <is>
          <t>Business and Financial Services</t>
        </is>
      </c>
      <c r="D25" t="inlineStr">
        <is>
          <t>DEU</t>
        </is>
      </c>
      <c r="E25" t="inlineStr">
        <is>
          <t>Germany</t>
        </is>
      </c>
      <c r="F25" t="inlineStr">
        <is>
          <t>ROU</t>
        </is>
      </c>
      <c r="G25" t="inlineStr">
        <is>
          <t>Romania</t>
        </is>
      </c>
      <c r="H25" t="n">
        <v>303300000</v>
      </c>
      <c r="I25" t="n">
        <v>47200000</v>
      </c>
      <c r="J25" t="n">
        <v>6700000</v>
      </c>
      <c r="K25" t="n">
        <v>1205</v>
      </c>
      <c r="L25" t="n">
        <v>16600000</v>
      </c>
      <c r="M25" t="n">
        <v>6800000</v>
      </c>
      <c r="N25" t="inlineStr"/>
      <c r="O25" t="inlineStr"/>
      <c r="P25" t="inlineStr">
        <is>
          <t>EUR</t>
        </is>
      </c>
      <c r="Q25" t="n">
        <v>0.1440677966101695</v>
      </c>
      <c r="R25" t="n">
        <v>17.66990445055578</v>
      </c>
      <c r="S25" t="n">
        <v>0.02075553002010917</v>
      </c>
    </row>
    <row r="26">
      <c r="A26" t="inlineStr">
        <is>
          <t>ALLIANZ</t>
        </is>
      </c>
      <c r="B26" t="n">
        <v>2021</v>
      </c>
      <c r="C26" t="inlineStr">
        <is>
          <t>Business and Financial Services</t>
        </is>
      </c>
      <c r="D26" t="inlineStr">
        <is>
          <t>DEU</t>
        </is>
      </c>
      <c r="E26" t="inlineStr">
        <is>
          <t>Germany</t>
        </is>
      </c>
      <c r="F26" t="inlineStr">
        <is>
          <t>COL</t>
        </is>
      </c>
      <c r="G26" t="inlineStr">
        <is>
          <t>Colombia</t>
        </is>
      </c>
      <c r="H26" t="n">
        <v>293800000</v>
      </c>
      <c r="I26" t="n">
        <v>10400000</v>
      </c>
      <c r="J26" t="n">
        <v>2600000</v>
      </c>
      <c r="K26" t="n">
        <v>896</v>
      </c>
      <c r="L26" t="n">
        <v>5800000</v>
      </c>
      <c r="M26" t="n">
        <v>500000</v>
      </c>
      <c r="N26" t="inlineStr"/>
      <c r="O26" t="inlineStr"/>
      <c r="P26" t="inlineStr">
        <is>
          <t>EUR</t>
        </is>
      </c>
      <c r="Q26" t="n">
        <v>0.04807692307692308</v>
      </c>
      <c r="R26" t="n">
        <v>16.1573163641116</v>
      </c>
      <c r="S26" t="n">
        <v>0.002311390532544379</v>
      </c>
    </row>
    <row r="27">
      <c r="A27" t="inlineStr">
        <is>
          <t>ALLIANZ</t>
        </is>
      </c>
      <c r="B27" t="n">
        <v>2021</v>
      </c>
      <c r="C27" t="inlineStr">
        <is>
          <t>Business and Financial Services</t>
        </is>
      </c>
      <c r="D27" t="inlineStr">
        <is>
          <t>DEU</t>
        </is>
      </c>
      <c r="E27" t="inlineStr">
        <is>
          <t>Germany</t>
        </is>
      </c>
      <c r="F27" t="inlineStr">
        <is>
          <t>EGY</t>
        </is>
      </c>
      <c r="G27" t="inlineStr">
        <is>
          <t>Egypt</t>
        </is>
      </c>
      <c r="H27" t="n">
        <v>258100000</v>
      </c>
      <c r="I27" t="n">
        <v>57900000</v>
      </c>
      <c r="J27" t="n">
        <v>12400000</v>
      </c>
      <c r="K27" t="n">
        <v>1488</v>
      </c>
      <c r="L27" t="n">
        <v>23300000</v>
      </c>
      <c r="M27" t="n">
        <v>12400000</v>
      </c>
      <c r="N27" t="inlineStr"/>
      <c r="O27" t="inlineStr"/>
      <c r="P27" t="inlineStr">
        <is>
          <t>EUR</t>
        </is>
      </c>
      <c r="Q27" t="n">
        <v>0.2141623488773748</v>
      </c>
      <c r="R27" t="n">
        <v>17.87422794254323</v>
      </c>
      <c r="S27" t="n">
        <v>0.04586551167667439</v>
      </c>
    </row>
    <row r="28">
      <c r="A28" t="inlineStr">
        <is>
          <t>ALLIANZ</t>
        </is>
      </c>
      <c r="B28" t="n">
        <v>2021</v>
      </c>
      <c r="C28" t="inlineStr">
        <is>
          <t>Business and Financial Services</t>
        </is>
      </c>
      <c r="D28" t="inlineStr">
        <is>
          <t>DEU</t>
        </is>
      </c>
      <c r="E28" t="inlineStr">
        <is>
          <t>Germany</t>
        </is>
      </c>
      <c r="F28" t="inlineStr">
        <is>
          <t>LBN</t>
        </is>
      </c>
      <c r="G28" t="inlineStr">
        <is>
          <t>Lebanon</t>
        </is>
      </c>
      <c r="H28" t="n">
        <v>257600000</v>
      </c>
      <c r="I28" t="n">
        <v>178900000</v>
      </c>
      <c r="J28" t="n">
        <v>2500000</v>
      </c>
      <c r="K28" t="n">
        <v>199</v>
      </c>
      <c r="L28" t="n">
        <v>29900000</v>
      </c>
      <c r="M28" t="n">
        <v>2900000</v>
      </c>
      <c r="N28" t="inlineStr"/>
      <c r="O28" t="inlineStr"/>
      <c r="P28" t="inlineStr">
        <is>
          <t>EUR</t>
        </is>
      </c>
      <c r="Q28" t="n">
        <v>0.01621017328116266</v>
      </c>
      <c r="R28" t="n">
        <v>19.00233754847895</v>
      </c>
      <c r="S28" t="n">
        <v>0.0002627697178053198</v>
      </c>
    </row>
    <row r="29">
      <c r="A29" t="inlineStr">
        <is>
          <t>ALLIANZ</t>
        </is>
      </c>
      <c r="B29" t="n">
        <v>2021</v>
      </c>
      <c r="C29" t="inlineStr">
        <is>
          <t>Business and Financial Services</t>
        </is>
      </c>
      <c r="D29" t="inlineStr">
        <is>
          <t>DEU</t>
        </is>
      </c>
      <c r="E29" t="inlineStr">
        <is>
          <t>Germany</t>
        </is>
      </c>
      <c r="F29" t="inlineStr">
        <is>
          <t>RUS</t>
        </is>
      </c>
      <c r="G29" t="inlineStr">
        <is>
          <t>Russia</t>
        </is>
      </c>
      <c r="H29" t="n">
        <v>241700000</v>
      </c>
      <c r="I29" t="n">
        <v>31800000</v>
      </c>
      <c r="J29" t="n">
        <v>5100000</v>
      </c>
      <c r="K29" t="n">
        <v>1189</v>
      </c>
      <c r="L29" t="n">
        <v>14200000</v>
      </c>
      <c r="M29" t="n">
        <v>6100000</v>
      </c>
      <c r="N29" t="inlineStr"/>
      <c r="O29" t="inlineStr"/>
      <c r="P29" t="inlineStr">
        <is>
          <t>EUR</t>
        </is>
      </c>
      <c r="Q29" t="n">
        <v>0.1918238993710692</v>
      </c>
      <c r="R29" t="n">
        <v>17.27497684775041</v>
      </c>
      <c r="S29" t="n">
        <v>0.03679640836992208</v>
      </c>
    </row>
    <row r="30">
      <c r="A30" t="inlineStr">
        <is>
          <t>ALLIANZ</t>
        </is>
      </c>
      <c r="B30" t="n">
        <v>2021</v>
      </c>
      <c r="C30" t="inlineStr">
        <is>
          <t>Business and Financial Services</t>
        </is>
      </c>
      <c r="D30" t="inlineStr">
        <is>
          <t>DEU</t>
        </is>
      </c>
      <c r="E30" t="inlineStr">
        <is>
          <t>Germany</t>
        </is>
      </c>
      <c r="F30" t="inlineStr">
        <is>
          <t>LIE</t>
        </is>
      </c>
      <c r="G30" t="inlineStr">
        <is>
          <t>Liechtenstein</t>
        </is>
      </c>
      <c r="H30" t="n">
        <v>225800000</v>
      </c>
      <c r="I30" t="n">
        <v>140500000</v>
      </c>
      <c r="J30" t="n">
        <v>-4400000</v>
      </c>
      <c r="K30" t="n">
        <v>78</v>
      </c>
      <c r="L30" t="n">
        <v>900000</v>
      </c>
      <c r="M30" t="n">
        <v>12000000</v>
      </c>
      <c r="N30" t="inlineStr"/>
      <c r="O30" t="inlineStr"/>
      <c r="P30" t="inlineStr">
        <is>
          <t>EUR</t>
        </is>
      </c>
      <c r="Q30" t="n">
        <v>0.08540925266903915</v>
      </c>
      <c r="R30" t="n">
        <v>18.76071804673807</v>
      </c>
      <c r="S30" t="n">
        <v>0.007294740441483771</v>
      </c>
    </row>
    <row r="31">
      <c r="A31" t="inlineStr">
        <is>
          <t>ALLIANZ</t>
        </is>
      </c>
      <c r="B31" t="n">
        <v>2021</v>
      </c>
      <c r="C31" t="inlineStr">
        <is>
          <t>Business and Financial Services</t>
        </is>
      </c>
      <c r="D31" t="inlineStr">
        <is>
          <t>DEU</t>
        </is>
      </c>
      <c r="E31" t="inlineStr">
        <is>
          <t>Germany</t>
        </is>
      </c>
      <c r="F31" t="inlineStr">
        <is>
          <t>BGR</t>
        </is>
      </c>
      <c r="G31" t="inlineStr">
        <is>
          <t>Bulgaria</t>
        </is>
      </c>
      <c r="H31" t="n">
        <v>191400000</v>
      </c>
      <c r="I31" t="n">
        <v>43800000</v>
      </c>
      <c r="J31" t="n">
        <v>4500000</v>
      </c>
      <c r="K31" t="n">
        <v>923</v>
      </c>
      <c r="L31" t="n">
        <v>20700000</v>
      </c>
      <c r="M31" t="n">
        <v>4800000</v>
      </c>
      <c r="N31" t="inlineStr"/>
      <c r="O31" t="inlineStr"/>
      <c r="P31" t="inlineStr">
        <is>
          <t>EUR</t>
        </is>
      </c>
      <c r="Q31" t="n">
        <v>0.1095890410958904</v>
      </c>
      <c r="R31" t="n">
        <v>17.59514437534667</v>
      </c>
      <c r="S31" t="n">
        <v>0.01200975792831676</v>
      </c>
    </row>
    <row r="32">
      <c r="A32" t="inlineStr">
        <is>
          <t>ALLIANZ</t>
        </is>
      </c>
      <c r="B32" t="n">
        <v>2021</v>
      </c>
      <c r="C32" t="inlineStr">
        <is>
          <t>Business and Financial Services</t>
        </is>
      </c>
      <c r="D32" t="inlineStr">
        <is>
          <t>DEU</t>
        </is>
      </c>
      <c r="E32" t="inlineStr">
        <is>
          <t>Germany</t>
        </is>
      </c>
      <c r="F32" t="inlineStr">
        <is>
          <t>HRV</t>
        </is>
      </c>
      <c r="G32" t="inlineStr">
        <is>
          <t>Croatia</t>
        </is>
      </c>
      <c r="H32" t="n">
        <v>159900000</v>
      </c>
      <c r="I32" t="n">
        <v>23000000</v>
      </c>
      <c r="J32" t="n">
        <v>3300000</v>
      </c>
      <c r="K32" t="n">
        <v>414</v>
      </c>
      <c r="L32" t="n">
        <v>7100000</v>
      </c>
      <c r="M32" t="n">
        <v>4600000</v>
      </c>
      <c r="N32" t="inlineStr"/>
      <c r="O32" t="inlineStr"/>
      <c r="P32" t="inlineStr">
        <is>
          <t>EUR</t>
        </is>
      </c>
      <c r="Q32" t="n">
        <v>0.2</v>
      </c>
      <c r="R32" t="n">
        <v>16.95100477389342</v>
      </c>
      <c r="S32" t="n">
        <v>0.04000000000000001</v>
      </c>
    </row>
    <row r="33">
      <c r="A33" t="inlineStr">
        <is>
          <t>ALLIANZ</t>
        </is>
      </c>
      <c r="B33" t="n">
        <v>2021</v>
      </c>
      <c r="C33" t="inlineStr">
        <is>
          <t>Business and Financial Services</t>
        </is>
      </c>
      <c r="D33" t="inlineStr">
        <is>
          <t>DEU</t>
        </is>
      </c>
      <c r="E33" t="inlineStr">
        <is>
          <t>Germany</t>
        </is>
      </c>
      <c r="F33" t="inlineStr">
        <is>
          <t>MAR</t>
        </is>
      </c>
      <c r="G33" t="inlineStr">
        <is>
          <t>Morocco</t>
        </is>
      </c>
      <c r="H33" t="n">
        <v>131500000</v>
      </c>
      <c r="I33" t="n">
        <v>13000000</v>
      </c>
      <c r="J33" t="n">
        <v>400000</v>
      </c>
      <c r="K33" t="n">
        <v>399</v>
      </c>
      <c r="L33" t="n">
        <v>23200000</v>
      </c>
      <c r="M33" t="n">
        <v>900000</v>
      </c>
      <c r="N33" t="inlineStr"/>
      <c r="O33" t="inlineStr"/>
      <c r="P33" t="inlineStr">
        <is>
          <t>EUR</t>
        </is>
      </c>
      <c r="Q33" t="n">
        <v>0.06923076923076923</v>
      </c>
      <c r="R33" t="n">
        <v>16.38045991542581</v>
      </c>
      <c r="S33" t="n">
        <v>0.004792899408284024</v>
      </c>
    </row>
    <row r="34">
      <c r="A34" t="inlineStr">
        <is>
          <t>ALLIANZ</t>
        </is>
      </c>
      <c r="B34" t="n">
        <v>2021</v>
      </c>
      <c r="C34" t="inlineStr">
        <is>
          <t>Business and Financial Services</t>
        </is>
      </c>
      <c r="D34" t="inlineStr">
        <is>
          <t>DEU</t>
        </is>
      </c>
      <c r="E34" t="inlineStr">
        <is>
          <t>Germany</t>
        </is>
      </c>
      <c r="F34" t="inlineStr">
        <is>
          <t>GRC</t>
        </is>
      </c>
      <c r="G34" t="inlineStr">
        <is>
          <t>Greece</t>
        </is>
      </c>
      <c r="H34" t="n">
        <v>129700000</v>
      </c>
      <c r="I34" t="n">
        <v>9600000</v>
      </c>
      <c r="J34" t="n">
        <v>-800000</v>
      </c>
      <c r="K34" t="n">
        <v>227</v>
      </c>
      <c r="L34" t="n">
        <v>19900000</v>
      </c>
      <c r="M34" t="n">
        <v>300000</v>
      </c>
      <c r="N34" t="inlineStr"/>
      <c r="O34" t="inlineStr"/>
      <c r="P34" t="inlineStr">
        <is>
          <t>EUR</t>
        </is>
      </c>
      <c r="Q34" t="n">
        <v>0.03125</v>
      </c>
      <c r="R34" t="n">
        <v>16.07727365643806</v>
      </c>
      <c r="S34" t="n">
        <v>0.0009765625</v>
      </c>
    </row>
    <row r="35">
      <c r="A35" t="inlineStr">
        <is>
          <t>ALLIANZ</t>
        </is>
      </c>
      <c r="B35" t="n">
        <v>2021</v>
      </c>
      <c r="C35" t="inlineStr">
        <is>
          <t>Business and Financial Services</t>
        </is>
      </c>
      <c r="D35" t="inlineStr">
        <is>
          <t>DEU</t>
        </is>
      </c>
      <c r="E35" t="inlineStr">
        <is>
          <t>Germany</t>
        </is>
      </c>
      <c r="F35" t="inlineStr">
        <is>
          <t>BHR</t>
        </is>
      </c>
      <c r="G35" t="inlineStr">
        <is>
          <t>Bahrain</t>
        </is>
      </c>
      <c r="H35" t="n">
        <v>71600000</v>
      </c>
      <c r="I35" t="n">
        <v>6600000</v>
      </c>
      <c r="J35" t="n">
        <v>2400000</v>
      </c>
      <c r="K35" t="n">
        <v>1553</v>
      </c>
      <c r="L35" t="n">
        <v>2700000</v>
      </c>
      <c r="M35" t="n">
        <v>2000000</v>
      </c>
      <c r="N35" t="inlineStr"/>
      <c r="O35" t="inlineStr"/>
      <c r="P35" t="inlineStr">
        <is>
          <t>EUR</t>
        </is>
      </c>
      <c r="Q35" t="n">
        <v>0.303030303030303</v>
      </c>
      <c r="R35" t="n">
        <v>15.70258020699665</v>
      </c>
      <c r="S35" t="n">
        <v>0.09182736455463729</v>
      </c>
    </row>
    <row r="36">
      <c r="A36" t="inlineStr">
        <is>
          <t>ALLIANZ</t>
        </is>
      </c>
      <c r="B36" t="n">
        <v>2021</v>
      </c>
      <c r="C36" t="inlineStr">
        <is>
          <t>Business and Financial Services</t>
        </is>
      </c>
      <c r="D36" t="inlineStr">
        <is>
          <t>DEU</t>
        </is>
      </c>
      <c r="E36" t="inlineStr">
        <is>
          <t>Germany</t>
        </is>
      </c>
      <c r="F36" t="inlineStr">
        <is>
          <t>CIV</t>
        </is>
      </c>
      <c r="G36" t="inlineStr">
        <is>
          <t>Côte d'Ivoire</t>
        </is>
      </c>
      <c r="H36" t="n">
        <v>70500000</v>
      </c>
      <c r="I36" t="n">
        <v>13000000</v>
      </c>
      <c r="J36" t="n">
        <v>3800000</v>
      </c>
      <c r="K36" t="n">
        <v>215</v>
      </c>
      <c r="L36" t="n">
        <v>6700000</v>
      </c>
      <c r="M36" t="n">
        <v>2200000</v>
      </c>
      <c r="N36" t="inlineStr"/>
      <c r="O36" t="inlineStr"/>
      <c r="P36" t="inlineStr">
        <is>
          <t>EUR</t>
        </is>
      </c>
      <c r="Q36" t="n">
        <v>0.1692307692307692</v>
      </c>
      <c r="R36" t="n">
        <v>16.38045991542581</v>
      </c>
      <c r="S36" t="n">
        <v>0.02863905325443787</v>
      </c>
    </row>
    <row r="37">
      <c r="A37" t="inlineStr">
        <is>
          <t>ALLIANZ</t>
        </is>
      </c>
      <c r="B37" t="n">
        <v>2021</v>
      </c>
      <c r="C37" t="inlineStr">
        <is>
          <t>Business and Financial Services</t>
        </is>
      </c>
      <c r="D37" t="inlineStr">
        <is>
          <t>DEU</t>
        </is>
      </c>
      <c r="E37" t="inlineStr">
        <is>
          <t>Germany</t>
        </is>
      </c>
      <c r="F37" t="inlineStr">
        <is>
          <t>IND</t>
        </is>
      </c>
      <c r="G37" t="inlineStr">
        <is>
          <t>India</t>
        </is>
      </c>
      <c r="H37" t="n">
        <v>46800000</v>
      </c>
      <c r="I37" t="n">
        <v>10100000</v>
      </c>
      <c r="J37" t="n">
        <v>2100000</v>
      </c>
      <c r="K37" t="n">
        <v>3058</v>
      </c>
      <c r="L37" t="n">
        <v>2400000</v>
      </c>
      <c r="M37" t="n">
        <v>1400000</v>
      </c>
      <c r="N37" t="inlineStr"/>
      <c r="O37" t="inlineStr"/>
      <c r="P37" t="inlineStr">
        <is>
          <t>EUR</t>
        </is>
      </c>
      <c r="Q37" t="n">
        <v>0.1386138613861386</v>
      </c>
      <c r="R37" t="n">
        <v>16.12804598181149</v>
      </c>
      <c r="S37" t="n">
        <v>0.01921380256837565</v>
      </c>
    </row>
    <row r="38">
      <c r="A38" t="inlineStr">
        <is>
          <t>ALLIANZ</t>
        </is>
      </c>
      <c r="B38" t="n">
        <v>2021</v>
      </c>
      <c r="C38" t="inlineStr">
        <is>
          <t>Business and Financial Services</t>
        </is>
      </c>
      <c r="D38" t="inlineStr">
        <is>
          <t>DEU</t>
        </is>
      </c>
      <c r="E38" t="inlineStr">
        <is>
          <t>Germany</t>
        </is>
      </c>
      <c r="F38" t="inlineStr">
        <is>
          <t>BMU</t>
        </is>
      </c>
      <c r="G38" t="inlineStr">
        <is>
          <t>Bermuda</t>
        </is>
      </c>
      <c r="H38" t="n">
        <v>37000000</v>
      </c>
      <c r="I38" t="n">
        <v>20700000</v>
      </c>
      <c r="J38" t="n">
        <v>2200000</v>
      </c>
      <c r="K38" t="n">
        <v>20</v>
      </c>
      <c r="L38" t="n">
        <v>100000</v>
      </c>
      <c r="M38" t="n">
        <v>3300000</v>
      </c>
      <c r="N38" t="inlineStr"/>
      <c r="O38" t="inlineStr"/>
      <c r="P38" t="inlineStr">
        <is>
          <t>EUR</t>
        </is>
      </c>
      <c r="Q38" t="n">
        <v>0.1594202898550725</v>
      </c>
      <c r="R38" t="n">
        <v>16.8456442582356</v>
      </c>
      <c r="S38" t="n">
        <v>0.02541482881747532</v>
      </c>
    </row>
    <row r="39">
      <c r="A39" t="inlineStr">
        <is>
          <t>UNIPER</t>
        </is>
      </c>
      <c r="B39" t="n">
        <v>2021</v>
      </c>
      <c r="C39" t="inlineStr">
        <is>
          <t>Utilities</t>
        </is>
      </c>
      <c r="D39" t="inlineStr">
        <is>
          <t>DEU</t>
        </is>
      </c>
      <c r="E39" t="inlineStr">
        <is>
          <t>Germany</t>
        </is>
      </c>
      <c r="F39" t="inlineStr">
        <is>
          <t>USA</t>
        </is>
      </c>
      <c r="G39" t="inlineStr">
        <is>
          <t>United States of America</t>
        </is>
      </c>
      <c r="H39" t="inlineStr"/>
      <c r="I39" t="n">
        <v>225000000</v>
      </c>
      <c r="J39" t="inlineStr"/>
      <c r="K39" t="n">
        <v>80</v>
      </c>
      <c r="L39" t="inlineStr"/>
      <c r="M39" t="n">
        <v>29000000</v>
      </c>
      <c r="N39" t="n">
        <v>89000000</v>
      </c>
      <c r="O39" t="n">
        <v>49000000</v>
      </c>
      <c r="P39" t="inlineStr">
        <is>
          <t>EUR</t>
        </is>
      </c>
      <c r="Q39" t="n">
        <v>0.1288888888888889</v>
      </c>
      <c r="R39" t="n">
        <v>19.23161096016869</v>
      </c>
      <c r="S39" t="n">
        <v>0.01661234567901234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mnc</t>
        </is>
      </c>
      <c r="B1" s="1" t="inlineStr">
        <is>
          <t>year</t>
        </is>
      </c>
      <c r="C1" s="1" t="inlineStr">
        <is>
          <t>sector</t>
        </is>
      </c>
      <c r="D1" s="1" t="inlineStr">
        <is>
          <t>upe_code</t>
        </is>
      </c>
      <c r="E1" s="1" t="inlineStr">
        <is>
          <t>upe_name</t>
        </is>
      </c>
      <c r="F1" s="1" t="inlineStr">
        <is>
          <t>jur_code</t>
        </is>
      </c>
      <c r="G1" s="1" t="inlineStr">
        <is>
          <t>jur_name</t>
        </is>
      </c>
      <c r="H1" s="1" t="inlineStr">
        <is>
          <t>total_revenues</t>
        </is>
      </c>
      <c r="I1" s="1" t="inlineStr">
        <is>
          <t>profit_before_tax</t>
        </is>
      </c>
      <c r="J1" s="1" t="inlineStr">
        <is>
          <t>tax_paid</t>
        </is>
      </c>
      <c r="K1" s="1" t="inlineStr">
        <is>
          <t>employees</t>
        </is>
      </c>
      <c r="L1" s="1" t="inlineStr">
        <is>
          <t>tangible_assets</t>
        </is>
      </c>
      <c r="M1" s="1" t="inlineStr">
        <is>
          <t>tax_accrued</t>
        </is>
      </c>
      <c r="N1" s="1" t="inlineStr">
        <is>
          <t>stated_capital</t>
        </is>
      </c>
      <c r="O1" s="1" t="inlineStr">
        <is>
          <t>accumulated_earnings</t>
        </is>
      </c>
      <c r="P1" s="1" t="inlineStr">
        <is>
          <t>currency</t>
        </is>
      </c>
      <c r="Q1" s="1" t="inlineStr">
        <is>
          <t>ETR</t>
        </is>
      </c>
      <c r="R1" s="1" t="inlineStr">
        <is>
          <t>ln_profits</t>
        </is>
      </c>
      <c r="S1" s="1" t="inlineStr">
        <is>
          <t>ETR_sq</t>
        </is>
      </c>
      <c r="T1" s="1" t="inlineStr">
        <is>
          <t>ln_employees</t>
        </is>
      </c>
      <c r="U1" s="1" t="inlineStr">
        <is>
          <t>ln_tangible_assets</t>
        </is>
      </c>
    </row>
    <row r="2">
      <c r="A2" t="inlineStr">
        <is>
          <t>ALLIANZ</t>
        </is>
      </c>
      <c r="B2" t="n">
        <v>2021</v>
      </c>
      <c r="C2" t="inlineStr">
        <is>
          <t>Business and Financial Services</t>
        </is>
      </c>
      <c r="D2" t="inlineStr">
        <is>
          <t>DEU</t>
        </is>
      </c>
      <c r="E2" t="inlineStr">
        <is>
          <t>Germany</t>
        </is>
      </c>
      <c r="F2" t="inlineStr">
        <is>
          <t>DEU</t>
        </is>
      </c>
      <c r="G2" t="inlineStr">
        <is>
          <t>Germany</t>
        </is>
      </c>
      <c r="H2" t="n">
        <v>54357000000</v>
      </c>
      <c r="I2" t="n">
        <v>2128500000</v>
      </c>
      <c r="J2" t="n">
        <v>735700000</v>
      </c>
      <c r="K2" t="n">
        <v>46081</v>
      </c>
      <c r="L2" t="n">
        <v>5143300000</v>
      </c>
      <c r="M2" t="n">
        <v>513500000</v>
      </c>
      <c r="N2" t="inlineStr"/>
      <c r="O2" t="inlineStr"/>
      <c r="P2" t="inlineStr">
        <is>
          <t>EUR</t>
        </is>
      </c>
      <c r="Q2" t="n">
        <v>0.2412497063659854</v>
      </c>
      <c r="R2" t="n">
        <v>21.47868334323248</v>
      </c>
      <c r="S2" t="n">
        <v>0.0582014208216742</v>
      </c>
      <c r="T2" t="n">
        <v>10.73815599652319</v>
      </c>
      <c r="U2" t="n">
        <v>22.36096073375097</v>
      </c>
    </row>
    <row r="3">
      <c r="A3" t="inlineStr">
        <is>
          <t>ALLIANZ</t>
        </is>
      </c>
      <c r="B3" t="n">
        <v>2021</v>
      </c>
      <c r="C3" t="inlineStr">
        <is>
          <t>Business and Financial Services</t>
        </is>
      </c>
      <c r="D3" t="inlineStr">
        <is>
          <t>DEU</t>
        </is>
      </c>
      <c r="E3" t="inlineStr">
        <is>
          <t>Germany</t>
        </is>
      </c>
      <c r="F3" t="inlineStr">
        <is>
          <t>FRA</t>
        </is>
      </c>
      <c r="G3" t="inlineStr">
        <is>
          <t>France</t>
        </is>
      </c>
      <c r="H3" t="n">
        <v>14235800000</v>
      </c>
      <c r="I3" t="n">
        <v>753100000</v>
      </c>
      <c r="J3" t="n">
        <v>203200000</v>
      </c>
      <c r="K3" t="n">
        <v>26239</v>
      </c>
      <c r="L3" t="n">
        <v>4382100000</v>
      </c>
      <c r="M3" t="n">
        <v>184300000</v>
      </c>
      <c r="N3" t="inlineStr"/>
      <c r="O3" t="inlineStr"/>
      <c r="P3" t="inlineStr">
        <is>
          <t>EUR</t>
        </is>
      </c>
      <c r="Q3" t="n">
        <v>0.2447218164918337</v>
      </c>
      <c r="R3" t="n">
        <v>20.43970857907158</v>
      </c>
      <c r="S3" t="n">
        <v>0.05988876746706275</v>
      </c>
      <c r="T3" t="n">
        <v>10.17500213257573</v>
      </c>
      <c r="U3" t="n">
        <v>22.20079389848915</v>
      </c>
    </row>
    <row r="4">
      <c r="A4" t="inlineStr">
        <is>
          <t>ALLIANZ</t>
        </is>
      </c>
      <c r="B4" t="n">
        <v>2021</v>
      </c>
      <c r="C4" t="inlineStr">
        <is>
          <t>Business and Financial Services</t>
        </is>
      </c>
      <c r="D4" t="inlineStr">
        <is>
          <t>DEU</t>
        </is>
      </c>
      <c r="E4" t="inlineStr">
        <is>
          <t>Germany</t>
        </is>
      </c>
      <c r="F4" t="inlineStr">
        <is>
          <t>ITA</t>
        </is>
      </c>
      <c r="G4" t="inlineStr">
        <is>
          <t>Italy</t>
        </is>
      </c>
      <c r="H4" t="n">
        <v>6365000000</v>
      </c>
      <c r="I4" t="n">
        <v>810000000</v>
      </c>
      <c r="J4" t="n">
        <v>245800000</v>
      </c>
      <c r="K4" t="n">
        <v>4876</v>
      </c>
      <c r="L4" t="n">
        <v>1230300000</v>
      </c>
      <c r="M4" t="n">
        <v>218100000</v>
      </c>
      <c r="N4" t="inlineStr"/>
      <c r="O4" t="inlineStr"/>
      <c r="P4" t="inlineStr">
        <is>
          <t>EUR</t>
        </is>
      </c>
      <c r="Q4" t="n">
        <v>0.2692592592592593</v>
      </c>
      <c r="R4" t="n">
        <v>20.51254480563076</v>
      </c>
      <c r="S4" t="n">
        <v>0.072500548696845</v>
      </c>
      <c r="T4" t="n">
        <v>8.492080490601163</v>
      </c>
      <c r="U4" t="n">
        <v>20.9305238790304</v>
      </c>
    </row>
    <row r="5">
      <c r="A5" t="inlineStr">
        <is>
          <t>ALLIANZ</t>
        </is>
      </c>
      <c r="B5" t="n">
        <v>2021</v>
      </c>
      <c r="C5" t="inlineStr">
        <is>
          <t>Business and Financial Services</t>
        </is>
      </c>
      <c r="D5" t="inlineStr">
        <is>
          <t>DEU</t>
        </is>
      </c>
      <c r="E5" t="inlineStr">
        <is>
          <t>Germany</t>
        </is>
      </c>
      <c r="F5" t="inlineStr">
        <is>
          <t>IRL</t>
        </is>
      </c>
      <c r="G5" t="inlineStr">
        <is>
          <t>Ireland</t>
        </is>
      </c>
      <c r="H5" t="n">
        <v>5041400000</v>
      </c>
      <c r="I5" t="n">
        <v>361700000</v>
      </c>
      <c r="J5" t="n">
        <v>60500000</v>
      </c>
      <c r="K5" t="n">
        <v>854</v>
      </c>
      <c r="L5" t="n">
        <v>13400000</v>
      </c>
      <c r="M5" t="n">
        <v>62800000</v>
      </c>
      <c r="N5" t="inlineStr"/>
      <c r="O5" t="inlineStr"/>
      <c r="P5" t="inlineStr">
        <is>
          <t>EUR</t>
        </is>
      </c>
      <c r="Q5" t="n">
        <v>0.1736245507326514</v>
      </c>
      <c r="R5" t="n">
        <v>19.70632569692233</v>
      </c>
      <c r="S5" t="n">
        <v>0.03014548461711503</v>
      </c>
      <c r="T5" t="n">
        <v>6.74993119378857</v>
      </c>
      <c r="U5" t="n">
        <v>16.41076526492114</v>
      </c>
    </row>
    <row r="6">
      <c r="A6" t="inlineStr">
        <is>
          <t>ALLIANZ</t>
        </is>
      </c>
      <c r="B6" t="n">
        <v>2021</v>
      </c>
      <c r="C6" t="inlineStr">
        <is>
          <t>Business and Financial Services</t>
        </is>
      </c>
      <c r="D6" t="inlineStr">
        <is>
          <t>DEU</t>
        </is>
      </c>
      <c r="E6" t="inlineStr">
        <is>
          <t>Germany</t>
        </is>
      </c>
      <c r="F6" t="inlineStr">
        <is>
          <t>CHE</t>
        </is>
      </c>
      <c r="G6" t="inlineStr">
        <is>
          <t>Switzerland</t>
        </is>
      </c>
      <c r="H6" t="n">
        <v>3804900000</v>
      </c>
      <c r="I6" t="n">
        <v>673300000</v>
      </c>
      <c r="J6" t="n">
        <v>77500000</v>
      </c>
      <c r="K6" t="n">
        <v>2824</v>
      </c>
      <c r="L6" t="n">
        <v>2903400000</v>
      </c>
      <c r="M6" t="n">
        <v>110800000</v>
      </c>
      <c r="N6" t="inlineStr"/>
      <c r="O6" t="inlineStr"/>
      <c r="P6" t="inlineStr">
        <is>
          <t>EUR</t>
        </is>
      </c>
      <c r="Q6" t="n">
        <v>0.1645626021090153</v>
      </c>
      <c r="R6" t="n">
        <v>20.32770155351551</v>
      </c>
      <c r="S6" t="n">
        <v>0.02708085001289008</v>
      </c>
      <c r="T6" t="n">
        <v>7.945909598613133</v>
      </c>
      <c r="U6" t="n">
        <v>21.7891483009916</v>
      </c>
    </row>
    <row r="7">
      <c r="A7" t="inlineStr">
        <is>
          <t>ALLIANZ</t>
        </is>
      </c>
      <c r="B7" t="n">
        <v>2021</v>
      </c>
      <c r="C7" t="inlineStr">
        <is>
          <t>Business and Financial Services</t>
        </is>
      </c>
      <c r="D7" t="inlineStr">
        <is>
          <t>DEU</t>
        </is>
      </c>
      <c r="E7" t="inlineStr">
        <is>
          <t>Germany</t>
        </is>
      </c>
      <c r="F7" t="inlineStr">
        <is>
          <t>GBR</t>
        </is>
      </c>
      <c r="G7" t="inlineStr">
        <is>
          <t>United Kingdom</t>
        </is>
      </c>
      <c r="H7" t="n">
        <v>3608200000</v>
      </c>
      <c r="I7" t="n">
        <v>149100000</v>
      </c>
      <c r="J7" t="n">
        <v>21600000</v>
      </c>
      <c r="K7" t="n">
        <v>8541</v>
      </c>
      <c r="L7" t="n">
        <v>568700000</v>
      </c>
      <c r="M7" t="n">
        <v>26900000</v>
      </c>
      <c r="N7" t="inlineStr"/>
      <c r="O7" t="inlineStr"/>
      <c r="P7" t="inlineStr">
        <is>
          <t>EUR</t>
        </is>
      </c>
      <c r="Q7" t="n">
        <v>0.1804158283031523</v>
      </c>
      <c r="R7" t="n">
        <v>18.82012777973497</v>
      </c>
      <c r="S7" t="n">
        <v>0.03254987110231251</v>
      </c>
      <c r="T7" t="n">
        <v>9.052633375946147</v>
      </c>
      <c r="U7" t="n">
        <v>20.15886361227703</v>
      </c>
    </row>
    <row r="8">
      <c r="A8" t="inlineStr">
        <is>
          <t>ALLIANZ</t>
        </is>
      </c>
      <c r="B8" t="n">
        <v>2021</v>
      </c>
      <c r="C8" t="inlineStr">
        <is>
          <t>Business and Financial Services</t>
        </is>
      </c>
      <c r="D8" t="inlineStr">
        <is>
          <t>DEU</t>
        </is>
      </c>
      <c r="E8" t="inlineStr">
        <is>
          <t>Germany</t>
        </is>
      </c>
      <c r="F8" t="inlineStr">
        <is>
          <t>ESP</t>
        </is>
      </c>
      <c r="G8" t="inlineStr">
        <is>
          <t>Spain</t>
        </is>
      </c>
      <c r="H8" t="n">
        <v>2599100000</v>
      </c>
      <c r="I8" t="n">
        <v>173300000</v>
      </c>
      <c r="J8" t="n">
        <v>59200000</v>
      </c>
      <c r="K8" t="n">
        <v>3666</v>
      </c>
      <c r="L8" t="n">
        <v>223300000</v>
      </c>
      <c r="M8" t="n">
        <v>45600000</v>
      </c>
      <c r="N8" t="inlineStr"/>
      <c r="O8" t="inlineStr"/>
      <c r="P8" t="inlineStr">
        <is>
          <t>EUR</t>
        </is>
      </c>
      <c r="Q8" t="n">
        <v>0.2631275245239469</v>
      </c>
      <c r="R8" t="n">
        <v>18.97053475468584</v>
      </c>
      <c r="S8" t="n">
        <v>0.06923609416210028</v>
      </c>
      <c r="T8" t="n">
        <v>8.20685642839965</v>
      </c>
      <c r="U8" t="n">
        <v>19.22402671681039</v>
      </c>
    </row>
    <row r="9">
      <c r="A9" t="inlineStr">
        <is>
          <t>ALLIANZ</t>
        </is>
      </c>
      <c r="B9" t="n">
        <v>2021</v>
      </c>
      <c r="C9" t="inlineStr">
        <is>
          <t>Business and Financial Services</t>
        </is>
      </c>
      <c r="D9" t="inlineStr">
        <is>
          <t>DEU</t>
        </is>
      </c>
      <c r="E9" t="inlineStr">
        <is>
          <t>Germany</t>
        </is>
      </c>
      <c r="F9" t="inlineStr">
        <is>
          <t>NLD</t>
        </is>
      </c>
      <c r="G9" t="inlineStr">
        <is>
          <t>Netherlands</t>
        </is>
      </c>
      <c r="H9" t="n">
        <v>1982200000</v>
      </c>
      <c r="I9" t="n">
        <v>386200000</v>
      </c>
      <c r="J9" t="n">
        <v>61100000</v>
      </c>
      <c r="K9" t="n">
        <v>2083</v>
      </c>
      <c r="L9" t="n">
        <v>23000000</v>
      </c>
      <c r="M9" t="n">
        <v>66200000</v>
      </c>
      <c r="N9" t="inlineStr"/>
      <c r="O9" t="inlineStr"/>
      <c r="P9" t="inlineStr">
        <is>
          <t>EUR</t>
        </is>
      </c>
      <c r="Q9" t="n">
        <v>0.1714137752459865</v>
      </c>
      <c r="R9" t="n">
        <v>19.77186592795869</v>
      </c>
      <c r="S9" t="n">
        <v>0.02938268234408158</v>
      </c>
      <c r="T9" t="n">
        <v>7.641564441260972</v>
      </c>
      <c r="U9" t="n">
        <v>16.95100477389342</v>
      </c>
    </row>
    <row r="10">
      <c r="A10" t="inlineStr">
        <is>
          <t>ALLIANZ</t>
        </is>
      </c>
      <c r="B10" t="n">
        <v>2021</v>
      </c>
      <c r="C10" t="inlineStr">
        <is>
          <t>Business and Financial Services</t>
        </is>
      </c>
      <c r="D10" t="inlineStr">
        <is>
          <t>DEU</t>
        </is>
      </c>
      <c r="E10" t="inlineStr">
        <is>
          <t>Germany</t>
        </is>
      </c>
      <c r="F10" t="inlineStr">
        <is>
          <t>AUT</t>
        </is>
      </c>
      <c r="G10" t="inlineStr">
        <is>
          <t>Austria</t>
        </is>
      </c>
      <c r="H10" t="n">
        <v>1741700000</v>
      </c>
      <c r="I10" t="n">
        <v>169800000</v>
      </c>
      <c r="J10" t="n">
        <v>74600000</v>
      </c>
      <c r="K10" t="n">
        <v>2920</v>
      </c>
      <c r="L10" t="n">
        <v>218300000</v>
      </c>
      <c r="M10" t="n">
        <v>49500000</v>
      </c>
      <c r="N10" t="inlineStr"/>
      <c r="O10" t="inlineStr"/>
      <c r="P10" t="inlineStr">
        <is>
          <t>EUR</t>
        </is>
      </c>
      <c r="Q10" t="n">
        <v>0.2915194346289753</v>
      </c>
      <c r="R10" t="n">
        <v>18.95013183184152</v>
      </c>
      <c r="S10" t="n">
        <v>0.08498358076639739</v>
      </c>
      <c r="T10" t="n">
        <v>7.979338895262328</v>
      </c>
      <c r="U10" t="n">
        <v>19.20138082152017</v>
      </c>
    </row>
    <row r="11">
      <c r="A11" t="inlineStr">
        <is>
          <t>ALLIANZ</t>
        </is>
      </c>
      <c r="B11" t="n">
        <v>2021</v>
      </c>
      <c r="C11" t="inlineStr">
        <is>
          <t>Business and Financial Services</t>
        </is>
      </c>
      <c r="D11" t="inlineStr">
        <is>
          <t>DEU</t>
        </is>
      </c>
      <c r="E11" t="inlineStr">
        <is>
          <t>Germany</t>
        </is>
      </c>
      <c r="F11" t="inlineStr">
        <is>
          <t>LUX</t>
        </is>
      </c>
      <c r="G11" t="inlineStr">
        <is>
          <t>Luxembourg</t>
        </is>
      </c>
      <c r="H11" t="n">
        <v>1614400000</v>
      </c>
      <c r="I11" t="n">
        <v>975200000</v>
      </c>
      <c r="J11" t="n">
        <v>96300000</v>
      </c>
      <c r="K11" t="n">
        <v>89</v>
      </c>
      <c r="L11" t="n">
        <v>5789900000</v>
      </c>
      <c r="M11" t="n">
        <v>146100000</v>
      </c>
      <c r="N11" t="inlineStr"/>
      <c r="O11" t="inlineStr"/>
      <c r="P11" t="inlineStr">
        <is>
          <t>EUR</t>
        </is>
      </c>
      <c r="Q11" t="n">
        <v>0.1498154224774405</v>
      </c>
      <c r="R11" t="n">
        <v>20.69815313613134</v>
      </c>
      <c r="S11" t="n">
        <v>0.02244466081209399</v>
      </c>
      <c r="T11" t="n">
        <v>4.48863636973214</v>
      </c>
      <c r="U11" t="n">
        <v>22.479380857225</v>
      </c>
    </row>
    <row r="12">
      <c r="A12" t="inlineStr">
        <is>
          <t>ALLIANZ</t>
        </is>
      </c>
      <c r="B12" t="n">
        <v>2021</v>
      </c>
      <c r="C12" t="inlineStr">
        <is>
          <t>Business and Financial Services</t>
        </is>
      </c>
      <c r="D12" t="inlineStr">
        <is>
          <t>DEU</t>
        </is>
      </c>
      <c r="E12" t="inlineStr">
        <is>
          <t>Germany</t>
        </is>
      </c>
      <c r="F12" t="inlineStr">
        <is>
          <t>CHN</t>
        </is>
      </c>
      <c r="G12" t="inlineStr">
        <is>
          <t>China</t>
        </is>
      </c>
      <c r="H12" t="n">
        <v>1329400000</v>
      </c>
      <c r="I12" t="n">
        <v>33300000</v>
      </c>
      <c r="J12" t="n">
        <v>3100000</v>
      </c>
      <c r="K12" t="n">
        <v>1575</v>
      </c>
      <c r="L12" t="n">
        <v>6400000</v>
      </c>
      <c r="M12" t="n">
        <v>12000000</v>
      </c>
      <c r="N12" t="inlineStr"/>
      <c r="O12" t="inlineStr"/>
      <c r="P12" t="inlineStr">
        <is>
          <t>EUR</t>
        </is>
      </c>
      <c r="Q12" t="n">
        <v>0.3603603603603603</v>
      </c>
      <c r="R12" t="n">
        <v>17.32106795495067</v>
      </c>
      <c r="S12" t="n">
        <v>0.1298595893190488</v>
      </c>
      <c r="T12" t="n">
        <v>7.362010551259734</v>
      </c>
      <c r="U12" t="n">
        <v>15.6718085483299</v>
      </c>
    </row>
    <row r="13">
      <c r="A13" t="inlineStr">
        <is>
          <t>ALLIANZ</t>
        </is>
      </c>
      <c r="B13" t="n">
        <v>2021</v>
      </c>
      <c r="C13" t="inlineStr">
        <is>
          <t>Business and Financial Services</t>
        </is>
      </c>
      <c r="D13" t="inlineStr">
        <is>
          <t>DEU</t>
        </is>
      </c>
      <c r="E13" t="inlineStr">
        <is>
          <t>Germany</t>
        </is>
      </c>
      <c r="F13" t="inlineStr">
        <is>
          <t>THA</t>
        </is>
      </c>
      <c r="G13" t="inlineStr">
        <is>
          <t>Thailand</t>
        </is>
      </c>
      <c r="H13" t="n">
        <v>1201300000</v>
      </c>
      <c r="I13" t="n">
        <v>161800000</v>
      </c>
      <c r="J13" t="n">
        <v>32100000</v>
      </c>
      <c r="K13" t="n">
        <v>2389</v>
      </c>
      <c r="L13" t="n">
        <v>19200000</v>
      </c>
      <c r="M13" t="n">
        <v>28300000</v>
      </c>
      <c r="N13" t="inlineStr"/>
      <c r="O13" t="inlineStr"/>
      <c r="P13" t="inlineStr">
        <is>
          <t>EUR</t>
        </is>
      </c>
      <c r="Q13" t="n">
        <v>0.1749072929542645</v>
      </c>
      <c r="R13" t="n">
        <v>18.90187156258867</v>
      </c>
      <c r="S13" t="n">
        <v>0.03059256112858891</v>
      </c>
      <c r="T13" t="n">
        <v>7.77863014732581</v>
      </c>
      <c r="U13" t="n">
        <v>16.77042083699801</v>
      </c>
    </row>
    <row r="14">
      <c r="A14" t="inlineStr">
        <is>
          <t>ALLIANZ</t>
        </is>
      </c>
      <c r="B14" t="n">
        <v>2021</v>
      </c>
      <c r="C14" t="inlineStr">
        <is>
          <t>Business and Financial Services</t>
        </is>
      </c>
      <c r="D14" t="inlineStr">
        <is>
          <t>DEU</t>
        </is>
      </c>
      <c r="E14" t="inlineStr">
        <is>
          <t>Germany</t>
        </is>
      </c>
      <c r="F14" t="inlineStr">
        <is>
          <t>TUR</t>
        </is>
      </c>
      <c r="G14" t="inlineStr">
        <is>
          <t>Turkey</t>
        </is>
      </c>
      <c r="H14" t="n">
        <v>1168700000</v>
      </c>
      <c r="I14" t="n">
        <v>209400000</v>
      </c>
      <c r="J14" t="n">
        <v>45700000</v>
      </c>
      <c r="K14" t="n">
        <v>2392</v>
      </c>
      <c r="L14" t="n">
        <v>40500000</v>
      </c>
      <c r="M14" t="n">
        <v>48800000</v>
      </c>
      <c r="N14" t="inlineStr"/>
      <c r="O14" t="inlineStr"/>
      <c r="P14" t="inlineStr">
        <is>
          <t>EUR</t>
        </is>
      </c>
      <c r="Q14" t="n">
        <v>0.2330468003820439</v>
      </c>
      <c r="R14" t="n">
        <v>19.15975685640071</v>
      </c>
      <c r="S14" t="n">
        <v>0.05431081116830823</v>
      </c>
      <c r="T14" t="n">
        <v>7.779885115070522</v>
      </c>
      <c r="U14" t="n">
        <v>17.51681253207677</v>
      </c>
    </row>
    <row r="15">
      <c r="A15" t="inlineStr">
        <is>
          <t>ALLIANZ</t>
        </is>
      </c>
      <c r="B15" t="n">
        <v>2021</v>
      </c>
      <c r="C15" t="inlineStr">
        <is>
          <t>Business and Financial Services</t>
        </is>
      </c>
      <c r="D15" t="inlineStr">
        <is>
          <t>DEU</t>
        </is>
      </c>
      <c r="E15" t="inlineStr">
        <is>
          <t>Germany</t>
        </is>
      </c>
      <c r="F15" t="inlineStr">
        <is>
          <t>TWN</t>
        </is>
      </c>
      <c r="G15" t="inlineStr">
        <is>
          <t>Taiwan</t>
        </is>
      </c>
      <c r="H15" t="n">
        <v>948600000</v>
      </c>
      <c r="I15" t="n">
        <v>134300000</v>
      </c>
      <c r="J15" t="n">
        <v>6800000</v>
      </c>
      <c r="K15" t="n">
        <v>801</v>
      </c>
      <c r="L15" t="n">
        <v>13300000</v>
      </c>
      <c r="M15" t="n">
        <v>8500000</v>
      </c>
      <c r="N15" t="inlineStr"/>
      <c r="O15" t="inlineStr"/>
      <c r="P15" t="inlineStr">
        <is>
          <t>EUR</t>
        </is>
      </c>
      <c r="Q15" t="n">
        <v>0.06329113924050633</v>
      </c>
      <c r="R15" t="n">
        <v>18.71558666149346</v>
      </c>
      <c r="S15" t="n">
        <v>0.00400576830636116</v>
      </c>
      <c r="T15" t="n">
        <v>6.68586094706836</v>
      </c>
      <c r="U15" t="n">
        <v>16.40327459319198</v>
      </c>
    </row>
    <row r="16">
      <c r="A16" t="inlineStr">
        <is>
          <t>ALLIANZ</t>
        </is>
      </c>
      <c r="B16" t="n">
        <v>2021</v>
      </c>
      <c r="C16" t="inlineStr">
        <is>
          <t>Business and Financial Services</t>
        </is>
      </c>
      <c r="D16" t="inlineStr">
        <is>
          <t>DEU</t>
        </is>
      </c>
      <c r="E16" t="inlineStr">
        <is>
          <t>Germany</t>
        </is>
      </c>
      <c r="F16" t="inlineStr">
        <is>
          <t>MYS</t>
        </is>
      </c>
      <c r="G16" t="inlineStr">
        <is>
          <t>Malaysia</t>
        </is>
      </c>
      <c r="H16" t="n">
        <v>899000000</v>
      </c>
      <c r="I16" t="n">
        <v>152400000</v>
      </c>
      <c r="J16" t="n">
        <v>33000000</v>
      </c>
      <c r="K16" t="n">
        <v>1902</v>
      </c>
      <c r="L16" t="n">
        <v>15600000</v>
      </c>
      <c r="M16" t="n">
        <v>28600000</v>
      </c>
      <c r="N16" t="inlineStr"/>
      <c r="O16" t="inlineStr"/>
      <c r="P16" t="inlineStr">
        <is>
          <t>EUR</t>
        </is>
      </c>
      <c r="Q16" t="n">
        <v>0.1876640419947506</v>
      </c>
      <c r="R16" t="n">
        <v>18.84201920121682</v>
      </c>
      <c r="S16" t="n">
        <v>0.03521779265780754</v>
      </c>
      <c r="T16" t="n">
        <v>7.550661243105336</v>
      </c>
      <c r="U16" t="n">
        <v>16.56278147221976</v>
      </c>
    </row>
    <row r="17">
      <c r="A17" t="inlineStr">
        <is>
          <t>ALLIANZ</t>
        </is>
      </c>
      <c r="B17" t="n">
        <v>2021</v>
      </c>
      <c r="C17" t="inlineStr">
        <is>
          <t>Business and Financial Services</t>
        </is>
      </c>
      <c r="D17" t="inlineStr">
        <is>
          <t>DEU</t>
        </is>
      </c>
      <c r="E17" t="inlineStr">
        <is>
          <t>Germany</t>
        </is>
      </c>
      <c r="F17" t="inlineStr">
        <is>
          <t>CZE</t>
        </is>
      </c>
      <c r="G17" t="inlineStr">
        <is>
          <t>Czechia</t>
        </is>
      </c>
      <c r="H17" t="n">
        <v>649800000</v>
      </c>
      <c r="I17" t="n">
        <v>83200000</v>
      </c>
      <c r="J17" t="n">
        <v>27200000</v>
      </c>
      <c r="K17" t="n">
        <v>891</v>
      </c>
      <c r="L17" t="n">
        <v>62600000</v>
      </c>
      <c r="M17" t="n">
        <v>28100000</v>
      </c>
      <c r="N17" t="inlineStr"/>
      <c r="O17" t="inlineStr"/>
      <c r="P17" t="inlineStr">
        <is>
          <t>EUR</t>
        </is>
      </c>
      <c r="Q17" t="n">
        <v>0.3377403846153846</v>
      </c>
      <c r="R17" t="n">
        <v>18.23675790579144</v>
      </c>
      <c r="S17" t="n">
        <v>0.1140685674001479</v>
      </c>
      <c r="T17" t="n">
        <v>6.792344427470809</v>
      </c>
      <c r="U17" t="n">
        <v>17.95227583607033</v>
      </c>
    </row>
    <row r="18">
      <c r="A18" t="inlineStr">
        <is>
          <t>ALLIANZ</t>
        </is>
      </c>
      <c r="B18" t="n">
        <v>2021</v>
      </c>
      <c r="C18" t="inlineStr">
        <is>
          <t>Business and Financial Services</t>
        </is>
      </c>
      <c r="D18" t="inlineStr">
        <is>
          <t>DEU</t>
        </is>
      </c>
      <c r="E18" t="inlineStr">
        <is>
          <t>Germany</t>
        </is>
      </c>
      <c r="F18" t="inlineStr">
        <is>
          <t>SVK</t>
        </is>
      </c>
      <c r="G18" t="inlineStr">
        <is>
          <t>Slovakia</t>
        </is>
      </c>
      <c r="H18" t="n">
        <v>612800000</v>
      </c>
      <c r="I18" t="n">
        <v>140900000</v>
      </c>
      <c r="J18" t="n">
        <v>40500000</v>
      </c>
      <c r="K18" t="n">
        <v>1128</v>
      </c>
      <c r="L18" t="n">
        <v>69900000</v>
      </c>
      <c r="M18" t="n">
        <v>35400000</v>
      </c>
      <c r="N18" t="inlineStr"/>
      <c r="O18" t="inlineStr"/>
      <c r="P18" t="inlineStr">
        <is>
          <t>EUR</t>
        </is>
      </c>
      <c r="Q18" t="n">
        <v>0.2512420156139106</v>
      </c>
      <c r="R18" t="n">
        <v>18.76356097686891</v>
      </c>
      <c r="S18" t="n">
        <v>0.06312255040974049</v>
      </c>
      <c r="T18" t="n">
        <v>7.028201432058005</v>
      </c>
      <c r="U18" t="n">
        <v>18.06257620720404</v>
      </c>
    </row>
    <row r="19">
      <c r="A19" t="inlineStr">
        <is>
          <t>ALLIANZ</t>
        </is>
      </c>
      <c r="B19" t="n">
        <v>2021</v>
      </c>
      <c r="C19" t="inlineStr">
        <is>
          <t>Business and Financial Services</t>
        </is>
      </c>
      <c r="D19" t="inlineStr">
        <is>
          <t>DEU</t>
        </is>
      </c>
      <c r="E19" t="inlineStr">
        <is>
          <t>Germany</t>
        </is>
      </c>
      <c r="F19" t="inlineStr">
        <is>
          <t>POL</t>
        </is>
      </c>
      <c r="G19" t="inlineStr">
        <is>
          <t>Poland</t>
        </is>
      </c>
      <c r="H19" t="n">
        <v>591400000</v>
      </c>
      <c r="I19" t="n">
        <v>89500000</v>
      </c>
      <c r="J19" t="n">
        <v>15300000</v>
      </c>
      <c r="K19" t="n">
        <v>5616</v>
      </c>
      <c r="L19" t="n">
        <v>30500000</v>
      </c>
      <c r="M19" t="n">
        <v>16500000</v>
      </c>
      <c r="N19" t="inlineStr"/>
      <c r="O19" t="inlineStr"/>
      <c r="P19" t="inlineStr">
        <is>
          <t>EUR</t>
        </is>
      </c>
      <c r="Q19" t="n">
        <v>0.1843575418994413</v>
      </c>
      <c r="R19" t="n">
        <v>18.30974918324508</v>
      </c>
      <c r="S19" t="n">
        <v>0.03398770325520427</v>
      </c>
      <c r="T19" t="n">
        <v>8.633374945705647</v>
      </c>
      <c r="U19" t="n">
        <v>17.23323724157764</v>
      </c>
    </row>
    <row r="20">
      <c r="A20" t="inlineStr">
        <is>
          <t>ALLIANZ</t>
        </is>
      </c>
      <c r="B20" t="n">
        <v>2021</v>
      </c>
      <c r="C20" t="inlineStr">
        <is>
          <t>Business and Financial Services</t>
        </is>
      </c>
      <c r="D20" t="inlineStr">
        <is>
          <t>DEU</t>
        </is>
      </c>
      <c r="E20" t="inlineStr">
        <is>
          <t>Germany</t>
        </is>
      </c>
      <c r="F20" t="inlineStr">
        <is>
          <t>PRT</t>
        </is>
      </c>
      <c r="G20" t="inlineStr">
        <is>
          <t>Portugal</t>
        </is>
      </c>
      <c r="H20" t="n">
        <v>536700000</v>
      </c>
      <c r="I20" t="n">
        <v>54500000</v>
      </c>
      <c r="J20" t="n">
        <v>22300000</v>
      </c>
      <c r="K20" t="n">
        <v>631</v>
      </c>
      <c r="L20" t="n">
        <v>26400000</v>
      </c>
      <c r="M20" t="n">
        <v>14400000</v>
      </c>
      <c r="N20" t="inlineStr"/>
      <c r="O20" t="inlineStr"/>
      <c r="P20" t="inlineStr">
        <is>
          <t>EUR</t>
        </is>
      </c>
      <c r="Q20" t="n">
        <v>0.2642201834862385</v>
      </c>
      <c r="R20" t="n">
        <v>17.81371125963347</v>
      </c>
      <c r="S20" t="n">
        <v>0.06981230536150157</v>
      </c>
      <c r="T20" t="n">
        <v>6.447305862541213</v>
      </c>
      <c r="U20" t="n">
        <v>17.08887456811654</v>
      </c>
    </row>
    <row r="21">
      <c r="A21" t="inlineStr">
        <is>
          <t>ALLIANZ</t>
        </is>
      </c>
      <c r="B21" t="n">
        <v>2021</v>
      </c>
      <c r="C21" t="inlineStr">
        <is>
          <t>Business and Financial Services</t>
        </is>
      </c>
      <c r="D21" t="inlineStr">
        <is>
          <t>DEU</t>
        </is>
      </c>
      <c r="E21" t="inlineStr">
        <is>
          <t>Germany</t>
        </is>
      </c>
      <c r="F21" t="inlineStr">
        <is>
          <t>MEX</t>
        </is>
      </c>
      <c r="G21" t="inlineStr">
        <is>
          <t>Mexico</t>
        </is>
      </c>
      <c r="H21" t="n">
        <v>455100000</v>
      </c>
      <c r="I21" t="n">
        <v>54700000</v>
      </c>
      <c r="J21" t="n">
        <v>14800000</v>
      </c>
      <c r="K21" t="n">
        <v>473</v>
      </c>
      <c r="L21" t="n">
        <v>4600000</v>
      </c>
      <c r="M21" t="n">
        <v>13900000</v>
      </c>
      <c r="N21" t="inlineStr"/>
      <c r="O21" t="inlineStr"/>
      <c r="P21" t="inlineStr">
        <is>
          <t>EUR</t>
        </is>
      </c>
      <c r="Q21" t="n">
        <v>0.2541133455210238</v>
      </c>
      <c r="R21" t="n">
        <v>17.81737426739221</v>
      </c>
      <c r="S21" t="n">
        <v>0.06457359237188721</v>
      </c>
      <c r="T21" t="n">
        <v>6.159095388491933</v>
      </c>
      <c r="U21" t="n">
        <v>15.34156686145932</v>
      </c>
    </row>
    <row r="22">
      <c r="A22" t="inlineStr">
        <is>
          <t>ALLIANZ</t>
        </is>
      </c>
      <c r="B22" t="n">
        <v>2021</v>
      </c>
      <c r="C22" t="inlineStr">
        <is>
          <t>Business and Financial Services</t>
        </is>
      </c>
      <c r="D22" t="inlineStr">
        <is>
          <t>DEU</t>
        </is>
      </c>
      <c r="E22" t="inlineStr">
        <is>
          <t>Germany</t>
        </is>
      </c>
      <c r="F22" t="inlineStr">
        <is>
          <t>IDN</t>
        </is>
      </c>
      <c r="G22" t="inlineStr">
        <is>
          <t>Indonesia</t>
        </is>
      </c>
      <c r="H22" t="n">
        <v>444100000</v>
      </c>
      <c r="I22" t="n">
        <v>80400000</v>
      </c>
      <c r="J22" t="n">
        <v>21500000</v>
      </c>
      <c r="K22" t="n">
        <v>1269</v>
      </c>
      <c r="L22" t="n">
        <v>14100000</v>
      </c>
      <c r="M22" t="n">
        <v>12400000</v>
      </c>
      <c r="N22" t="inlineStr"/>
      <c r="O22" t="inlineStr"/>
      <c r="P22" t="inlineStr">
        <is>
          <t>EUR</t>
        </is>
      </c>
      <c r="Q22" t="n">
        <v>0.154228855721393</v>
      </c>
      <c r="R22" t="n">
        <v>18.20252473414919</v>
      </c>
      <c r="S22" t="n">
        <v>0.02378653993713027</v>
      </c>
      <c r="T22" t="n">
        <v>7.145984467714388</v>
      </c>
      <c r="U22" t="n">
        <v>16.4616853553484</v>
      </c>
    </row>
    <row r="23">
      <c r="A23" t="inlineStr">
        <is>
          <t>ALLIANZ</t>
        </is>
      </c>
      <c r="B23" t="n">
        <v>2021</v>
      </c>
      <c r="C23" t="inlineStr">
        <is>
          <t>Business and Financial Services</t>
        </is>
      </c>
      <c r="D23" t="inlineStr">
        <is>
          <t>DEU</t>
        </is>
      </c>
      <c r="E23" t="inlineStr">
        <is>
          <t>Germany</t>
        </is>
      </c>
      <c r="F23" t="inlineStr">
        <is>
          <t>HUN</t>
        </is>
      </c>
      <c r="G23" t="inlineStr">
        <is>
          <t>Hungary</t>
        </is>
      </c>
      <c r="H23" t="n">
        <v>395300000</v>
      </c>
      <c r="I23" t="n">
        <v>71600000</v>
      </c>
      <c r="J23" t="n">
        <v>10900000</v>
      </c>
      <c r="K23" t="n">
        <v>953</v>
      </c>
      <c r="L23" t="n">
        <v>31300000</v>
      </c>
      <c r="M23" t="n">
        <v>12000000</v>
      </c>
      <c r="N23" t="inlineStr"/>
      <c r="O23" t="inlineStr"/>
      <c r="P23" t="inlineStr">
        <is>
          <t>EUR</t>
        </is>
      </c>
      <c r="Q23" t="n">
        <v>0.1675977653631285</v>
      </c>
      <c r="R23" t="n">
        <v>18.08660563193087</v>
      </c>
      <c r="S23" t="n">
        <v>0.02808901095471427</v>
      </c>
      <c r="T23" t="n">
        <v>6.859614903654202</v>
      </c>
      <c r="U23" t="n">
        <v>17.25912865551038</v>
      </c>
    </row>
    <row r="24">
      <c r="A24" t="inlineStr">
        <is>
          <t>ALLIANZ</t>
        </is>
      </c>
      <c r="B24" t="n">
        <v>2021</v>
      </c>
      <c r="C24" t="inlineStr">
        <is>
          <t>Business and Financial Services</t>
        </is>
      </c>
      <c r="D24" t="inlineStr">
        <is>
          <t>DEU</t>
        </is>
      </c>
      <c r="E24" t="inlineStr">
        <is>
          <t>Germany</t>
        </is>
      </c>
      <c r="F24" t="inlineStr">
        <is>
          <t>ROU</t>
        </is>
      </c>
      <c r="G24" t="inlineStr">
        <is>
          <t>Romania</t>
        </is>
      </c>
      <c r="H24" t="n">
        <v>303300000</v>
      </c>
      <c r="I24" t="n">
        <v>47200000</v>
      </c>
      <c r="J24" t="n">
        <v>6700000</v>
      </c>
      <c r="K24" t="n">
        <v>1205</v>
      </c>
      <c r="L24" t="n">
        <v>16600000</v>
      </c>
      <c r="M24" t="n">
        <v>6800000</v>
      </c>
      <c r="N24" t="inlineStr"/>
      <c r="O24" t="inlineStr"/>
      <c r="P24" t="inlineStr">
        <is>
          <t>EUR</t>
        </is>
      </c>
      <c r="Q24" t="n">
        <v>0.1440677966101695</v>
      </c>
      <c r="R24" t="n">
        <v>17.66990445055578</v>
      </c>
      <c r="S24" t="n">
        <v>0.02075553002010917</v>
      </c>
      <c r="T24" t="n">
        <v>7.094234845924755</v>
      </c>
      <c r="U24" t="n">
        <v>16.62491325332677</v>
      </c>
    </row>
    <row r="25">
      <c r="A25" t="inlineStr">
        <is>
          <t>ALLIANZ</t>
        </is>
      </c>
      <c r="B25" t="n">
        <v>2021</v>
      </c>
      <c r="C25" t="inlineStr">
        <is>
          <t>Business and Financial Services</t>
        </is>
      </c>
      <c r="D25" t="inlineStr">
        <is>
          <t>DEU</t>
        </is>
      </c>
      <c r="E25" t="inlineStr">
        <is>
          <t>Germany</t>
        </is>
      </c>
      <c r="F25" t="inlineStr">
        <is>
          <t>COL</t>
        </is>
      </c>
      <c r="G25" t="inlineStr">
        <is>
          <t>Colombia</t>
        </is>
      </c>
      <c r="H25" t="n">
        <v>293800000</v>
      </c>
      <c r="I25" t="n">
        <v>10400000</v>
      </c>
      <c r="J25" t="n">
        <v>2600000</v>
      </c>
      <c r="K25" t="n">
        <v>896</v>
      </c>
      <c r="L25" t="n">
        <v>5800000</v>
      </c>
      <c r="M25" t="n">
        <v>500000</v>
      </c>
      <c r="N25" t="inlineStr"/>
      <c r="O25" t="inlineStr"/>
      <c r="P25" t="inlineStr">
        <is>
          <t>EUR</t>
        </is>
      </c>
      <c r="Q25" t="n">
        <v>0.04807692307692308</v>
      </c>
      <c r="R25" t="n">
        <v>16.1573163641116</v>
      </c>
      <c r="S25" t="n">
        <v>0.002311390532544379</v>
      </c>
      <c r="T25" t="n">
        <v>6.79794041297493</v>
      </c>
      <c r="U25" t="n">
        <v>15.57336847551665</v>
      </c>
    </row>
    <row r="26">
      <c r="A26" t="inlineStr">
        <is>
          <t>ALLIANZ</t>
        </is>
      </c>
      <c r="B26" t="n">
        <v>2021</v>
      </c>
      <c r="C26" t="inlineStr">
        <is>
          <t>Business and Financial Services</t>
        </is>
      </c>
      <c r="D26" t="inlineStr">
        <is>
          <t>DEU</t>
        </is>
      </c>
      <c r="E26" t="inlineStr">
        <is>
          <t>Germany</t>
        </is>
      </c>
      <c r="F26" t="inlineStr">
        <is>
          <t>EGY</t>
        </is>
      </c>
      <c r="G26" t="inlineStr">
        <is>
          <t>Egypt</t>
        </is>
      </c>
      <c r="H26" t="n">
        <v>258100000</v>
      </c>
      <c r="I26" t="n">
        <v>57900000</v>
      </c>
      <c r="J26" t="n">
        <v>12400000</v>
      </c>
      <c r="K26" t="n">
        <v>1488</v>
      </c>
      <c r="L26" t="n">
        <v>23300000</v>
      </c>
      <c r="M26" t="n">
        <v>12400000</v>
      </c>
      <c r="N26" t="inlineStr"/>
      <c r="O26" t="inlineStr"/>
      <c r="P26" t="inlineStr">
        <is>
          <t>EUR</t>
        </is>
      </c>
      <c r="Q26" t="n">
        <v>0.2141623488773748</v>
      </c>
      <c r="R26" t="n">
        <v>17.87422794254323</v>
      </c>
      <c r="S26" t="n">
        <v>0.04586551167667439</v>
      </c>
      <c r="T26" t="n">
        <v>7.305188215393037</v>
      </c>
      <c r="U26" t="n">
        <v>16.96396391853593</v>
      </c>
    </row>
    <row r="27">
      <c r="A27" t="inlineStr">
        <is>
          <t>ALLIANZ</t>
        </is>
      </c>
      <c r="B27" t="n">
        <v>2021</v>
      </c>
      <c r="C27" t="inlineStr">
        <is>
          <t>Business and Financial Services</t>
        </is>
      </c>
      <c r="D27" t="inlineStr">
        <is>
          <t>DEU</t>
        </is>
      </c>
      <c r="E27" t="inlineStr">
        <is>
          <t>Germany</t>
        </is>
      </c>
      <c r="F27" t="inlineStr">
        <is>
          <t>LBN</t>
        </is>
      </c>
      <c r="G27" t="inlineStr">
        <is>
          <t>Lebanon</t>
        </is>
      </c>
      <c r="H27" t="n">
        <v>257600000</v>
      </c>
      <c r="I27" t="n">
        <v>178900000</v>
      </c>
      <c r="J27" t="n">
        <v>2500000</v>
      </c>
      <c r="K27" t="n">
        <v>199</v>
      </c>
      <c r="L27" t="n">
        <v>29900000</v>
      </c>
      <c r="M27" t="n">
        <v>2900000</v>
      </c>
      <c r="N27" t="inlineStr"/>
      <c r="O27" t="inlineStr"/>
      <c r="P27" t="inlineStr">
        <is>
          <t>EUR</t>
        </is>
      </c>
      <c r="Q27" t="n">
        <v>0.01621017328116266</v>
      </c>
      <c r="R27" t="n">
        <v>19.00233754847895</v>
      </c>
      <c r="S27" t="n">
        <v>0.0002627697178053198</v>
      </c>
      <c r="T27" t="n">
        <v>5.293304824724492</v>
      </c>
      <c r="U27" t="n">
        <v>17.21336903836092</v>
      </c>
    </row>
    <row r="28">
      <c r="A28" t="inlineStr">
        <is>
          <t>ALLIANZ</t>
        </is>
      </c>
      <c r="B28" t="n">
        <v>2021</v>
      </c>
      <c r="C28" t="inlineStr">
        <is>
          <t>Business and Financial Services</t>
        </is>
      </c>
      <c r="D28" t="inlineStr">
        <is>
          <t>DEU</t>
        </is>
      </c>
      <c r="E28" t="inlineStr">
        <is>
          <t>Germany</t>
        </is>
      </c>
      <c r="F28" t="inlineStr">
        <is>
          <t>RUS</t>
        </is>
      </c>
      <c r="G28" t="inlineStr">
        <is>
          <t>Russia</t>
        </is>
      </c>
      <c r="H28" t="n">
        <v>241700000</v>
      </c>
      <c r="I28" t="n">
        <v>31800000</v>
      </c>
      <c r="J28" t="n">
        <v>5100000</v>
      </c>
      <c r="K28" t="n">
        <v>1189</v>
      </c>
      <c r="L28" t="n">
        <v>14200000</v>
      </c>
      <c r="M28" t="n">
        <v>6100000</v>
      </c>
      <c r="N28" t="inlineStr"/>
      <c r="O28" t="inlineStr"/>
      <c r="P28" t="inlineStr">
        <is>
          <t>EUR</t>
        </is>
      </c>
      <c r="Q28" t="n">
        <v>0.1918238993710692</v>
      </c>
      <c r="R28" t="n">
        <v>17.27497684775041</v>
      </c>
      <c r="S28" t="n">
        <v>0.03679640836992208</v>
      </c>
      <c r="T28" t="n">
        <v>7.080867896690782</v>
      </c>
      <c r="U28" t="n">
        <v>16.46875252257149</v>
      </c>
    </row>
    <row r="29">
      <c r="A29" t="inlineStr">
        <is>
          <t>ALLIANZ</t>
        </is>
      </c>
      <c r="B29" t="n">
        <v>2021</v>
      </c>
      <c r="C29" t="inlineStr">
        <is>
          <t>Business and Financial Services</t>
        </is>
      </c>
      <c r="D29" t="inlineStr">
        <is>
          <t>DEU</t>
        </is>
      </c>
      <c r="E29" t="inlineStr">
        <is>
          <t>Germany</t>
        </is>
      </c>
      <c r="F29" t="inlineStr">
        <is>
          <t>LIE</t>
        </is>
      </c>
      <c r="G29" t="inlineStr">
        <is>
          <t>Liechtenstein</t>
        </is>
      </c>
      <c r="H29" t="n">
        <v>225800000</v>
      </c>
      <c r="I29" t="n">
        <v>140500000</v>
      </c>
      <c r="J29" t="n">
        <v>-4400000</v>
      </c>
      <c r="K29" t="n">
        <v>78</v>
      </c>
      <c r="L29" t="n">
        <v>900000</v>
      </c>
      <c r="M29" t="n">
        <v>12000000</v>
      </c>
      <c r="N29" t="inlineStr"/>
      <c r="O29" t="inlineStr"/>
      <c r="P29" t="inlineStr">
        <is>
          <t>EUR</t>
        </is>
      </c>
      <c r="Q29" t="n">
        <v>0.08540925266903915</v>
      </c>
      <c r="R29" t="n">
        <v>18.76071804673807</v>
      </c>
      <c r="S29" t="n">
        <v>0.007294740441483771</v>
      </c>
      <c r="T29" t="n">
        <v>4.356708826689592</v>
      </c>
      <c r="U29" t="n">
        <v>13.71015004230645</v>
      </c>
    </row>
    <row r="30">
      <c r="A30" t="inlineStr">
        <is>
          <t>ALLIANZ</t>
        </is>
      </c>
      <c r="B30" t="n">
        <v>2021</v>
      </c>
      <c r="C30" t="inlineStr">
        <is>
          <t>Business and Financial Services</t>
        </is>
      </c>
      <c r="D30" t="inlineStr">
        <is>
          <t>DEU</t>
        </is>
      </c>
      <c r="E30" t="inlineStr">
        <is>
          <t>Germany</t>
        </is>
      </c>
      <c r="F30" t="inlineStr">
        <is>
          <t>BGR</t>
        </is>
      </c>
      <c r="G30" t="inlineStr">
        <is>
          <t>Bulgaria</t>
        </is>
      </c>
      <c r="H30" t="n">
        <v>191400000</v>
      </c>
      <c r="I30" t="n">
        <v>43800000</v>
      </c>
      <c r="J30" t="n">
        <v>4500000</v>
      </c>
      <c r="K30" t="n">
        <v>923</v>
      </c>
      <c r="L30" t="n">
        <v>20700000</v>
      </c>
      <c r="M30" t="n">
        <v>4800000</v>
      </c>
      <c r="N30" t="inlineStr"/>
      <c r="O30" t="inlineStr"/>
      <c r="P30" t="inlineStr">
        <is>
          <t>EUR</t>
        </is>
      </c>
      <c r="Q30" t="n">
        <v>0.1095890410958904</v>
      </c>
      <c r="R30" t="n">
        <v>17.59514437534667</v>
      </c>
      <c r="S30" t="n">
        <v>0.01200975792831676</v>
      </c>
      <c r="T30" t="n">
        <v>6.827629234502852</v>
      </c>
      <c r="U30" t="n">
        <v>16.8456442582356</v>
      </c>
    </row>
    <row r="31">
      <c r="A31" t="inlineStr">
        <is>
          <t>ALLIANZ</t>
        </is>
      </c>
      <c r="B31" t="n">
        <v>2021</v>
      </c>
      <c r="C31" t="inlineStr">
        <is>
          <t>Business and Financial Services</t>
        </is>
      </c>
      <c r="D31" t="inlineStr">
        <is>
          <t>DEU</t>
        </is>
      </c>
      <c r="E31" t="inlineStr">
        <is>
          <t>Germany</t>
        </is>
      </c>
      <c r="F31" t="inlineStr">
        <is>
          <t>HRV</t>
        </is>
      </c>
      <c r="G31" t="inlineStr">
        <is>
          <t>Croatia</t>
        </is>
      </c>
      <c r="H31" t="n">
        <v>159900000</v>
      </c>
      <c r="I31" t="n">
        <v>23000000</v>
      </c>
      <c r="J31" t="n">
        <v>3300000</v>
      </c>
      <c r="K31" t="n">
        <v>414</v>
      </c>
      <c r="L31" t="n">
        <v>7100000</v>
      </c>
      <c r="M31" t="n">
        <v>4600000</v>
      </c>
      <c r="N31" t="inlineStr"/>
      <c r="O31" t="inlineStr"/>
      <c r="P31" t="inlineStr">
        <is>
          <t>EUR</t>
        </is>
      </c>
      <c r="Q31" t="n">
        <v>0.2</v>
      </c>
      <c r="R31" t="n">
        <v>16.95100477389342</v>
      </c>
      <c r="S31" t="n">
        <v>0.04000000000000001</v>
      </c>
      <c r="T31" t="n">
        <v>6.025865973825314</v>
      </c>
      <c r="U31" t="n">
        <v>15.77560534201154</v>
      </c>
    </row>
    <row r="32">
      <c r="A32" t="inlineStr">
        <is>
          <t>ALLIANZ</t>
        </is>
      </c>
      <c r="B32" t="n">
        <v>2021</v>
      </c>
      <c r="C32" t="inlineStr">
        <is>
          <t>Business and Financial Services</t>
        </is>
      </c>
      <c r="D32" t="inlineStr">
        <is>
          <t>DEU</t>
        </is>
      </c>
      <c r="E32" t="inlineStr">
        <is>
          <t>Germany</t>
        </is>
      </c>
      <c r="F32" t="inlineStr">
        <is>
          <t>MAR</t>
        </is>
      </c>
      <c r="G32" t="inlineStr">
        <is>
          <t>Morocco</t>
        </is>
      </c>
      <c r="H32" t="n">
        <v>131500000</v>
      </c>
      <c r="I32" t="n">
        <v>13000000</v>
      </c>
      <c r="J32" t="n">
        <v>400000</v>
      </c>
      <c r="K32" t="n">
        <v>399</v>
      </c>
      <c r="L32" t="n">
        <v>23200000</v>
      </c>
      <c r="M32" t="n">
        <v>900000</v>
      </c>
      <c r="N32" t="inlineStr"/>
      <c r="O32" t="inlineStr"/>
      <c r="P32" t="inlineStr">
        <is>
          <t>EUR</t>
        </is>
      </c>
      <c r="Q32" t="n">
        <v>0.06923076923076923</v>
      </c>
      <c r="R32" t="n">
        <v>16.38045991542581</v>
      </c>
      <c r="S32" t="n">
        <v>0.004792899408284024</v>
      </c>
      <c r="T32" t="n">
        <v>5.988961416889864</v>
      </c>
      <c r="U32" t="n">
        <v>16.95966283663654</v>
      </c>
    </row>
    <row r="33">
      <c r="A33" t="inlineStr">
        <is>
          <t>ALLIANZ</t>
        </is>
      </c>
      <c r="B33" t="n">
        <v>2021</v>
      </c>
      <c r="C33" t="inlineStr">
        <is>
          <t>Business and Financial Services</t>
        </is>
      </c>
      <c r="D33" t="inlineStr">
        <is>
          <t>DEU</t>
        </is>
      </c>
      <c r="E33" t="inlineStr">
        <is>
          <t>Germany</t>
        </is>
      </c>
      <c r="F33" t="inlineStr">
        <is>
          <t>GRC</t>
        </is>
      </c>
      <c r="G33" t="inlineStr">
        <is>
          <t>Greece</t>
        </is>
      </c>
      <c r="H33" t="n">
        <v>129700000</v>
      </c>
      <c r="I33" t="n">
        <v>9600000</v>
      </c>
      <c r="J33" t="n">
        <v>-800000</v>
      </c>
      <c r="K33" t="n">
        <v>227</v>
      </c>
      <c r="L33" t="n">
        <v>19900000</v>
      </c>
      <c r="M33" t="n">
        <v>300000</v>
      </c>
      <c r="N33" t="inlineStr"/>
      <c r="O33" t="inlineStr"/>
      <c r="P33" t="inlineStr">
        <is>
          <t>EUR</t>
        </is>
      </c>
      <c r="Q33" t="n">
        <v>0.03125</v>
      </c>
      <c r="R33" t="n">
        <v>16.07727365643806</v>
      </c>
      <c r="S33" t="n">
        <v>0.0009765625</v>
      </c>
      <c r="T33" t="n">
        <v>5.424950017481403</v>
      </c>
      <c r="U33" t="n">
        <v>16.80623028969472</v>
      </c>
    </row>
    <row r="34">
      <c r="A34" t="inlineStr">
        <is>
          <t>ALLIANZ</t>
        </is>
      </c>
      <c r="B34" t="n">
        <v>2021</v>
      </c>
      <c r="C34" t="inlineStr">
        <is>
          <t>Business and Financial Services</t>
        </is>
      </c>
      <c r="D34" t="inlineStr">
        <is>
          <t>DEU</t>
        </is>
      </c>
      <c r="E34" t="inlineStr">
        <is>
          <t>Germany</t>
        </is>
      </c>
      <c r="F34" t="inlineStr">
        <is>
          <t>BHR</t>
        </is>
      </c>
      <c r="G34" t="inlineStr">
        <is>
          <t>Bahrain</t>
        </is>
      </c>
      <c r="H34" t="n">
        <v>71600000</v>
      </c>
      <c r="I34" t="n">
        <v>6600000</v>
      </c>
      <c r="J34" t="n">
        <v>2400000</v>
      </c>
      <c r="K34" t="n">
        <v>1553</v>
      </c>
      <c r="L34" t="n">
        <v>2700000</v>
      </c>
      <c r="M34" t="n">
        <v>2000000</v>
      </c>
      <c r="N34" t="inlineStr"/>
      <c r="O34" t="inlineStr"/>
      <c r="P34" t="inlineStr">
        <is>
          <t>EUR</t>
        </is>
      </c>
      <c r="Q34" t="n">
        <v>0.303030303030303</v>
      </c>
      <c r="R34" t="n">
        <v>15.70258020699665</v>
      </c>
      <c r="S34" t="n">
        <v>0.09182736455463729</v>
      </c>
      <c r="T34" t="n">
        <v>7.347943823148687</v>
      </c>
      <c r="U34" t="n">
        <v>14.80876233097456</v>
      </c>
    </row>
    <row r="35">
      <c r="A35" t="inlineStr">
        <is>
          <t>ALLIANZ</t>
        </is>
      </c>
      <c r="B35" t="n">
        <v>2021</v>
      </c>
      <c r="C35" t="inlineStr">
        <is>
          <t>Business and Financial Services</t>
        </is>
      </c>
      <c r="D35" t="inlineStr">
        <is>
          <t>DEU</t>
        </is>
      </c>
      <c r="E35" t="inlineStr">
        <is>
          <t>Germany</t>
        </is>
      </c>
      <c r="F35" t="inlineStr">
        <is>
          <t>CIV</t>
        </is>
      </c>
      <c r="G35" t="inlineStr">
        <is>
          <t>Côte d'Ivoire</t>
        </is>
      </c>
      <c r="H35" t="n">
        <v>70500000</v>
      </c>
      <c r="I35" t="n">
        <v>13000000</v>
      </c>
      <c r="J35" t="n">
        <v>3800000</v>
      </c>
      <c r="K35" t="n">
        <v>215</v>
      </c>
      <c r="L35" t="n">
        <v>6700000</v>
      </c>
      <c r="M35" t="n">
        <v>2200000</v>
      </c>
      <c r="N35" t="inlineStr"/>
      <c r="O35" t="inlineStr"/>
      <c r="P35" t="inlineStr">
        <is>
          <t>EUR</t>
        </is>
      </c>
      <c r="Q35" t="n">
        <v>0.1692307692307692</v>
      </c>
      <c r="R35" t="n">
        <v>16.38045991542581</v>
      </c>
      <c r="S35" t="n">
        <v>0.02863905325443787</v>
      </c>
      <c r="T35" t="n">
        <v>5.370638028127662</v>
      </c>
      <c r="U35" t="n">
        <v>15.7176180843612</v>
      </c>
    </row>
    <row r="36">
      <c r="A36" t="inlineStr">
        <is>
          <t>ALLIANZ</t>
        </is>
      </c>
      <c r="B36" t="n">
        <v>2021</v>
      </c>
      <c r="C36" t="inlineStr">
        <is>
          <t>Business and Financial Services</t>
        </is>
      </c>
      <c r="D36" t="inlineStr">
        <is>
          <t>DEU</t>
        </is>
      </c>
      <c r="E36" t="inlineStr">
        <is>
          <t>Germany</t>
        </is>
      </c>
      <c r="F36" t="inlineStr">
        <is>
          <t>IND</t>
        </is>
      </c>
      <c r="G36" t="inlineStr">
        <is>
          <t>India</t>
        </is>
      </c>
      <c r="H36" t="n">
        <v>46800000</v>
      </c>
      <c r="I36" t="n">
        <v>10100000</v>
      </c>
      <c r="J36" t="n">
        <v>2100000</v>
      </c>
      <c r="K36" t="n">
        <v>3058</v>
      </c>
      <c r="L36" t="n">
        <v>2400000</v>
      </c>
      <c r="M36" t="n">
        <v>1400000</v>
      </c>
      <c r="N36" t="inlineStr"/>
      <c r="O36" t="inlineStr"/>
      <c r="P36" t="inlineStr">
        <is>
          <t>EUR</t>
        </is>
      </c>
      <c r="Q36" t="n">
        <v>0.1386138613861386</v>
      </c>
      <c r="R36" t="n">
        <v>16.12804598181149</v>
      </c>
      <c r="S36" t="n">
        <v>0.01921380256837565</v>
      </c>
      <c r="T36" t="n">
        <v>8.025516386489008</v>
      </c>
      <c r="U36" t="n">
        <v>14.69097929531817</v>
      </c>
    </row>
    <row r="37">
      <c r="A37" t="inlineStr">
        <is>
          <t>ALLIANZ</t>
        </is>
      </c>
      <c r="B37" t="n">
        <v>2021</v>
      </c>
      <c r="C37" t="inlineStr">
        <is>
          <t>Business and Financial Services</t>
        </is>
      </c>
      <c r="D37" t="inlineStr">
        <is>
          <t>DEU</t>
        </is>
      </c>
      <c r="E37" t="inlineStr">
        <is>
          <t>Germany</t>
        </is>
      </c>
      <c r="F37" t="inlineStr">
        <is>
          <t>BMU</t>
        </is>
      </c>
      <c r="G37" t="inlineStr">
        <is>
          <t>Bermuda</t>
        </is>
      </c>
      <c r="H37" t="n">
        <v>37000000</v>
      </c>
      <c r="I37" t="n">
        <v>20700000</v>
      </c>
      <c r="J37" t="n">
        <v>2200000</v>
      </c>
      <c r="K37" t="n">
        <v>20</v>
      </c>
      <c r="L37" t="n">
        <v>100000</v>
      </c>
      <c r="M37" t="n">
        <v>3300000</v>
      </c>
      <c r="N37" t="inlineStr"/>
      <c r="O37" t="inlineStr"/>
      <c r="P37" t="inlineStr">
        <is>
          <t>EUR</t>
        </is>
      </c>
      <c r="Q37" t="n">
        <v>0.1594202898550725</v>
      </c>
      <c r="R37" t="n">
        <v>16.8456442582356</v>
      </c>
      <c r="S37" t="n">
        <v>0.02541482881747532</v>
      </c>
      <c r="T37" t="n">
        <v>2.995732273553991</v>
      </c>
      <c r="U37" t="n">
        <v>11.51292546497023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mnc</t>
        </is>
      </c>
      <c r="B1" s="1" t="inlineStr">
        <is>
          <t>year</t>
        </is>
      </c>
      <c r="C1" s="1" t="inlineStr">
        <is>
          <t>sector</t>
        </is>
      </c>
      <c r="D1" s="1" t="inlineStr">
        <is>
          <t>upe_code</t>
        </is>
      </c>
      <c r="E1" s="1" t="inlineStr">
        <is>
          <t>upe_name</t>
        </is>
      </c>
      <c r="F1" s="1" t="inlineStr">
        <is>
          <t>jur_code</t>
        </is>
      </c>
      <c r="G1" s="1" t="inlineStr">
        <is>
          <t>jur_name</t>
        </is>
      </c>
      <c r="H1" s="1" t="inlineStr">
        <is>
          <t>total_revenues</t>
        </is>
      </c>
      <c r="I1" s="1" t="inlineStr">
        <is>
          <t>profit_before_tax</t>
        </is>
      </c>
      <c r="J1" s="1" t="inlineStr">
        <is>
          <t>tax_paid</t>
        </is>
      </c>
      <c r="K1" s="1" t="inlineStr">
        <is>
          <t>employees</t>
        </is>
      </c>
      <c r="L1" s="1" t="inlineStr">
        <is>
          <t>tangible_assets</t>
        </is>
      </c>
      <c r="M1" s="1" t="inlineStr">
        <is>
          <t>tax_accrued</t>
        </is>
      </c>
      <c r="N1" s="1" t="inlineStr">
        <is>
          <t>stated_capital</t>
        </is>
      </c>
      <c r="O1" s="1" t="inlineStr">
        <is>
          <t>accumulated_earnings</t>
        </is>
      </c>
      <c r="P1" s="1" t="inlineStr">
        <is>
          <t>currency</t>
        </is>
      </c>
      <c r="Q1" s="1" t="inlineStr">
        <is>
          <t>ETR</t>
        </is>
      </c>
      <c r="R1" s="1" t="inlineStr">
        <is>
          <t>ln_profits</t>
        </is>
      </c>
      <c r="S1" s="1" t="inlineStr">
        <is>
          <t>ETR_sq</t>
        </is>
      </c>
    </row>
    <row r="2">
      <c r="A2" t="inlineStr">
        <is>
          <t>ALLIANZ</t>
        </is>
      </c>
      <c r="B2" t="n">
        <v>2021</v>
      </c>
      <c r="C2" t="inlineStr">
        <is>
          <t>Business and Financial Services</t>
        </is>
      </c>
      <c r="D2" t="inlineStr">
        <is>
          <t>DEU</t>
        </is>
      </c>
      <c r="E2" t="inlineStr">
        <is>
          <t>Germany</t>
        </is>
      </c>
      <c r="F2" t="inlineStr">
        <is>
          <t>DEU</t>
        </is>
      </c>
      <c r="G2" t="inlineStr">
        <is>
          <t>Germany</t>
        </is>
      </c>
      <c r="H2" t="n">
        <v>54357000000</v>
      </c>
      <c r="I2" t="n">
        <v>2128500000</v>
      </c>
      <c r="J2" t="n">
        <v>735700000</v>
      </c>
      <c r="K2" t="n">
        <v>46081</v>
      </c>
      <c r="L2" t="n">
        <v>5143300000</v>
      </c>
      <c r="M2" t="n">
        <v>513500000</v>
      </c>
      <c r="N2" t="inlineStr"/>
      <c r="O2" t="inlineStr"/>
      <c r="P2" t="inlineStr">
        <is>
          <t>EUR</t>
        </is>
      </c>
      <c r="Q2" t="n">
        <v>0.3456424712238666</v>
      </c>
      <c r="R2" t="n">
        <v>21.47868334323248</v>
      </c>
      <c r="S2" t="n">
        <v>0.1194687179137414</v>
      </c>
    </row>
    <row r="3">
      <c r="A3" t="inlineStr">
        <is>
          <t>ALLIANZ</t>
        </is>
      </c>
      <c r="B3" t="n">
        <v>2021</v>
      </c>
      <c r="C3" t="inlineStr">
        <is>
          <t>Business and Financial Services</t>
        </is>
      </c>
      <c r="D3" t="inlineStr">
        <is>
          <t>DEU</t>
        </is>
      </c>
      <c r="E3" t="inlineStr">
        <is>
          <t>Germany</t>
        </is>
      </c>
      <c r="F3" t="inlineStr">
        <is>
          <t>FRA</t>
        </is>
      </c>
      <c r="G3" t="inlineStr">
        <is>
          <t>France</t>
        </is>
      </c>
      <c r="H3" t="n">
        <v>14235800000</v>
      </c>
      <c r="I3" t="n">
        <v>753100000</v>
      </c>
      <c r="J3" t="n">
        <v>203200000</v>
      </c>
      <c r="K3" t="n">
        <v>26239</v>
      </c>
      <c r="L3" t="n">
        <v>4382100000</v>
      </c>
      <c r="M3" t="n">
        <v>184300000</v>
      </c>
      <c r="N3" t="inlineStr"/>
      <c r="O3" t="inlineStr"/>
      <c r="P3" t="inlineStr">
        <is>
          <t>EUR</t>
        </is>
      </c>
      <c r="Q3" t="n">
        <v>0.2698180852476431</v>
      </c>
      <c r="R3" t="n">
        <v>20.43970857907158</v>
      </c>
      <c r="S3" t="n">
        <v>0.07280179912670437</v>
      </c>
    </row>
    <row r="4">
      <c r="A4" t="inlineStr">
        <is>
          <t>ALLIANZ</t>
        </is>
      </c>
      <c r="B4" t="n">
        <v>2021</v>
      </c>
      <c r="C4" t="inlineStr">
        <is>
          <t>Business and Financial Services</t>
        </is>
      </c>
      <c r="D4" t="inlineStr">
        <is>
          <t>DEU</t>
        </is>
      </c>
      <c r="E4" t="inlineStr">
        <is>
          <t>Germany</t>
        </is>
      </c>
      <c r="F4" t="inlineStr">
        <is>
          <t>ITA</t>
        </is>
      </c>
      <c r="G4" t="inlineStr">
        <is>
          <t>Italy</t>
        </is>
      </c>
      <c r="H4" t="n">
        <v>6365000000</v>
      </c>
      <c r="I4" t="n">
        <v>810000000</v>
      </c>
      <c r="J4" t="n">
        <v>245800000</v>
      </c>
      <c r="K4" t="n">
        <v>4876</v>
      </c>
      <c r="L4" t="n">
        <v>1230300000</v>
      </c>
      <c r="M4" t="n">
        <v>218100000</v>
      </c>
      <c r="N4" t="inlineStr"/>
      <c r="O4" t="inlineStr"/>
      <c r="P4" t="inlineStr">
        <is>
          <t>EUR</t>
        </is>
      </c>
      <c r="Q4" t="n">
        <v>0.3034567901234568</v>
      </c>
      <c r="R4" t="n">
        <v>20.51254480563076</v>
      </c>
      <c r="S4" t="n">
        <v>0.09208602347203169</v>
      </c>
    </row>
    <row r="5">
      <c r="A5" t="inlineStr">
        <is>
          <t>ALLIANZ</t>
        </is>
      </c>
      <c r="B5" t="n">
        <v>2021</v>
      </c>
      <c r="C5" t="inlineStr">
        <is>
          <t>Business and Financial Services</t>
        </is>
      </c>
      <c r="D5" t="inlineStr">
        <is>
          <t>DEU</t>
        </is>
      </c>
      <c r="E5" t="inlineStr">
        <is>
          <t>Germany</t>
        </is>
      </c>
      <c r="F5" t="inlineStr">
        <is>
          <t>IRL</t>
        </is>
      </c>
      <c r="G5" t="inlineStr">
        <is>
          <t>Ireland</t>
        </is>
      </c>
      <c r="H5" t="n">
        <v>5041400000</v>
      </c>
      <c r="I5" t="n">
        <v>361700000</v>
      </c>
      <c r="J5" t="n">
        <v>60500000</v>
      </c>
      <c r="K5" t="n">
        <v>854</v>
      </c>
      <c r="L5" t="n">
        <v>13400000</v>
      </c>
      <c r="M5" t="n">
        <v>62800000</v>
      </c>
      <c r="N5" t="inlineStr"/>
      <c r="O5" t="inlineStr"/>
      <c r="P5" t="inlineStr">
        <is>
          <t>EUR</t>
        </is>
      </c>
      <c r="Q5" t="n">
        <v>0.1672656897981753</v>
      </c>
      <c r="R5" t="n">
        <v>19.70632569692233</v>
      </c>
      <c r="S5" t="n">
        <v>0.0279778109836594</v>
      </c>
    </row>
    <row r="6">
      <c r="A6" t="inlineStr">
        <is>
          <t>ALLIANZ</t>
        </is>
      </c>
      <c r="B6" t="n">
        <v>2021</v>
      </c>
      <c r="C6" t="inlineStr">
        <is>
          <t>Business and Financial Services</t>
        </is>
      </c>
      <c r="D6" t="inlineStr">
        <is>
          <t>DEU</t>
        </is>
      </c>
      <c r="E6" t="inlineStr">
        <is>
          <t>Germany</t>
        </is>
      </c>
      <c r="F6" t="inlineStr">
        <is>
          <t>CHE</t>
        </is>
      </c>
      <c r="G6" t="inlineStr">
        <is>
          <t>Switzerland</t>
        </is>
      </c>
      <c r="H6" t="n">
        <v>3804900000</v>
      </c>
      <c r="I6" t="n">
        <v>673300000</v>
      </c>
      <c r="J6" t="n">
        <v>77500000</v>
      </c>
      <c r="K6" t="n">
        <v>2824</v>
      </c>
      <c r="L6" t="n">
        <v>2903400000</v>
      </c>
      <c r="M6" t="n">
        <v>110800000</v>
      </c>
      <c r="N6" t="inlineStr"/>
      <c r="O6" t="inlineStr"/>
      <c r="P6" t="inlineStr">
        <is>
          <t>EUR</t>
        </is>
      </c>
      <c r="Q6" t="n">
        <v>0.115104708153869</v>
      </c>
      <c r="R6" t="n">
        <v>20.32770155351551</v>
      </c>
      <c r="S6" t="n">
        <v>0.01324909383918736</v>
      </c>
    </row>
    <row r="7">
      <c r="A7" t="inlineStr">
        <is>
          <t>ALLIANZ</t>
        </is>
      </c>
      <c r="B7" t="n">
        <v>2021</v>
      </c>
      <c r="C7" t="inlineStr">
        <is>
          <t>Business and Financial Services</t>
        </is>
      </c>
      <c r="D7" t="inlineStr">
        <is>
          <t>DEU</t>
        </is>
      </c>
      <c r="E7" t="inlineStr">
        <is>
          <t>Germany</t>
        </is>
      </c>
      <c r="F7" t="inlineStr">
        <is>
          <t>GBR</t>
        </is>
      </c>
      <c r="G7" t="inlineStr">
        <is>
          <t>United Kingdom</t>
        </is>
      </c>
      <c r="H7" t="n">
        <v>3608200000</v>
      </c>
      <c r="I7" t="n">
        <v>149100000</v>
      </c>
      <c r="J7" t="n">
        <v>21600000</v>
      </c>
      <c r="K7" t="n">
        <v>8541</v>
      </c>
      <c r="L7" t="n">
        <v>568700000</v>
      </c>
      <c r="M7" t="n">
        <v>26900000</v>
      </c>
      <c r="N7" t="inlineStr"/>
      <c r="O7" t="inlineStr"/>
      <c r="P7" t="inlineStr">
        <is>
          <t>EUR</t>
        </is>
      </c>
      <c r="Q7" t="n">
        <v>0.1448692152917505</v>
      </c>
      <c r="R7" t="n">
        <v>18.82012777973497</v>
      </c>
      <c r="S7" t="n">
        <v>0.02098708953924756</v>
      </c>
    </row>
    <row r="8">
      <c r="A8" t="inlineStr">
        <is>
          <t>ALLIANZ</t>
        </is>
      </c>
      <c r="B8" t="n">
        <v>2021</v>
      </c>
      <c r="C8" t="inlineStr">
        <is>
          <t>Business and Financial Services</t>
        </is>
      </c>
      <c r="D8" t="inlineStr">
        <is>
          <t>DEU</t>
        </is>
      </c>
      <c r="E8" t="inlineStr">
        <is>
          <t>Germany</t>
        </is>
      </c>
      <c r="F8" t="inlineStr">
        <is>
          <t>ESP</t>
        </is>
      </c>
      <c r="G8" t="inlineStr">
        <is>
          <t>Spain</t>
        </is>
      </c>
      <c r="H8" t="n">
        <v>2599100000</v>
      </c>
      <c r="I8" t="n">
        <v>173300000</v>
      </c>
      <c r="J8" t="n">
        <v>59200000</v>
      </c>
      <c r="K8" t="n">
        <v>3666</v>
      </c>
      <c r="L8" t="n">
        <v>223300000</v>
      </c>
      <c r="M8" t="n">
        <v>45600000</v>
      </c>
      <c r="N8" t="inlineStr"/>
      <c r="O8" t="inlineStr"/>
      <c r="P8" t="inlineStr">
        <is>
          <t>EUR</t>
        </is>
      </c>
      <c r="Q8" t="n">
        <v>0.3416041546451241</v>
      </c>
      <c r="R8" t="n">
        <v>18.97053475468584</v>
      </c>
      <c r="S8" t="n">
        <v>0.1166933984708098</v>
      </c>
    </row>
    <row r="9">
      <c r="A9" t="inlineStr">
        <is>
          <t>ALLIANZ</t>
        </is>
      </c>
      <c r="B9" t="n">
        <v>2021</v>
      </c>
      <c r="C9" t="inlineStr">
        <is>
          <t>Business and Financial Services</t>
        </is>
      </c>
      <c r="D9" t="inlineStr">
        <is>
          <t>DEU</t>
        </is>
      </c>
      <c r="E9" t="inlineStr">
        <is>
          <t>Germany</t>
        </is>
      </c>
      <c r="F9" t="inlineStr">
        <is>
          <t>NLD</t>
        </is>
      </c>
      <c r="G9" t="inlineStr">
        <is>
          <t>Netherlands</t>
        </is>
      </c>
      <c r="H9" t="n">
        <v>1982200000</v>
      </c>
      <c r="I9" t="n">
        <v>386200000</v>
      </c>
      <c r="J9" t="n">
        <v>61100000</v>
      </c>
      <c r="K9" t="n">
        <v>2083</v>
      </c>
      <c r="L9" t="n">
        <v>23000000</v>
      </c>
      <c r="M9" t="n">
        <v>66200000</v>
      </c>
      <c r="N9" t="inlineStr"/>
      <c r="O9" t="inlineStr"/>
      <c r="P9" t="inlineStr">
        <is>
          <t>EUR</t>
        </is>
      </c>
      <c r="Q9" t="n">
        <v>0.1582081822889694</v>
      </c>
      <c r="R9" t="n">
        <v>19.77186592795869</v>
      </c>
      <c r="S9" t="n">
        <v>0.02502982894317978</v>
      </c>
    </row>
    <row r="10">
      <c r="A10" t="inlineStr">
        <is>
          <t>ALLIANZ</t>
        </is>
      </c>
      <c r="B10" t="n">
        <v>2021</v>
      </c>
      <c r="C10" t="inlineStr">
        <is>
          <t>Business and Financial Services</t>
        </is>
      </c>
      <c r="D10" t="inlineStr">
        <is>
          <t>DEU</t>
        </is>
      </c>
      <c r="E10" t="inlineStr">
        <is>
          <t>Germany</t>
        </is>
      </c>
      <c r="F10" t="inlineStr">
        <is>
          <t>AUT</t>
        </is>
      </c>
      <c r="G10" t="inlineStr">
        <is>
          <t>Austria</t>
        </is>
      </c>
      <c r="H10" t="n">
        <v>1741700000</v>
      </c>
      <c r="I10" t="n">
        <v>169800000</v>
      </c>
      <c r="J10" t="n">
        <v>74600000</v>
      </c>
      <c r="K10" t="n">
        <v>2920</v>
      </c>
      <c r="L10" t="n">
        <v>218300000</v>
      </c>
      <c r="M10" t="n">
        <v>49500000</v>
      </c>
      <c r="N10" t="inlineStr"/>
      <c r="O10" t="inlineStr"/>
      <c r="P10" t="inlineStr">
        <is>
          <t>EUR</t>
        </is>
      </c>
      <c r="Q10" t="n">
        <v>0.4393404004711425</v>
      </c>
      <c r="R10" t="n">
        <v>18.95013183184152</v>
      </c>
      <c r="S10" t="n">
        <v>0.1930199874861439</v>
      </c>
    </row>
    <row r="11">
      <c r="A11" t="inlineStr">
        <is>
          <t>ALLIANZ</t>
        </is>
      </c>
      <c r="B11" t="n">
        <v>2021</v>
      </c>
      <c r="C11" t="inlineStr">
        <is>
          <t>Business and Financial Services</t>
        </is>
      </c>
      <c r="D11" t="inlineStr">
        <is>
          <t>DEU</t>
        </is>
      </c>
      <c r="E11" t="inlineStr">
        <is>
          <t>Germany</t>
        </is>
      </c>
      <c r="F11" t="inlineStr">
        <is>
          <t>LUX</t>
        </is>
      </c>
      <c r="G11" t="inlineStr">
        <is>
          <t>Luxembourg</t>
        </is>
      </c>
      <c r="H11" t="n">
        <v>1614400000</v>
      </c>
      <c r="I11" t="n">
        <v>975200000</v>
      </c>
      <c r="J11" t="n">
        <v>96300000</v>
      </c>
      <c r="K11" t="n">
        <v>89</v>
      </c>
      <c r="L11" t="n">
        <v>5789900000</v>
      </c>
      <c r="M11" t="n">
        <v>146100000</v>
      </c>
      <c r="N11" t="inlineStr"/>
      <c r="O11" t="inlineStr"/>
      <c r="P11" t="inlineStr">
        <is>
          <t>EUR</t>
        </is>
      </c>
      <c r="Q11" t="n">
        <v>0.09874897456931911</v>
      </c>
      <c r="R11" t="n">
        <v>20.69815313613134</v>
      </c>
      <c r="S11" t="n">
        <v>0.009751359978492032</v>
      </c>
    </row>
    <row r="12">
      <c r="A12" t="inlineStr">
        <is>
          <t>ALLIANZ</t>
        </is>
      </c>
      <c r="B12" t="n">
        <v>2021</v>
      </c>
      <c r="C12" t="inlineStr">
        <is>
          <t>Business and Financial Services</t>
        </is>
      </c>
      <c r="D12" t="inlineStr">
        <is>
          <t>DEU</t>
        </is>
      </c>
      <c r="E12" t="inlineStr">
        <is>
          <t>Germany</t>
        </is>
      </c>
      <c r="F12" t="inlineStr">
        <is>
          <t>CHN</t>
        </is>
      </c>
      <c r="G12" t="inlineStr">
        <is>
          <t>China</t>
        </is>
      </c>
      <c r="H12" t="n">
        <v>1329400000</v>
      </c>
      <c r="I12" t="n">
        <v>33300000</v>
      </c>
      <c r="J12" t="n">
        <v>3100000</v>
      </c>
      <c r="K12" t="n">
        <v>1575</v>
      </c>
      <c r="L12" t="n">
        <v>6400000</v>
      </c>
      <c r="M12" t="n">
        <v>12000000</v>
      </c>
      <c r="N12" t="inlineStr"/>
      <c r="O12" t="inlineStr"/>
      <c r="P12" t="inlineStr">
        <is>
          <t>EUR</t>
        </is>
      </c>
      <c r="Q12" t="n">
        <v>0.09309309309309309</v>
      </c>
      <c r="R12" t="n">
        <v>17.32106795495067</v>
      </c>
      <c r="S12" t="n">
        <v>0.008666323981639296</v>
      </c>
    </row>
    <row r="13">
      <c r="A13" t="inlineStr">
        <is>
          <t>ALLIANZ</t>
        </is>
      </c>
      <c r="B13" t="n">
        <v>2021</v>
      </c>
      <c r="C13" t="inlineStr">
        <is>
          <t>Business and Financial Services</t>
        </is>
      </c>
      <c r="D13" t="inlineStr">
        <is>
          <t>DEU</t>
        </is>
      </c>
      <c r="E13" t="inlineStr">
        <is>
          <t>Germany</t>
        </is>
      </c>
      <c r="F13" t="inlineStr">
        <is>
          <t>THA</t>
        </is>
      </c>
      <c r="G13" t="inlineStr">
        <is>
          <t>Thailand</t>
        </is>
      </c>
      <c r="H13" t="n">
        <v>1201300000</v>
      </c>
      <c r="I13" t="n">
        <v>161800000</v>
      </c>
      <c r="J13" t="n">
        <v>32100000</v>
      </c>
      <c r="K13" t="n">
        <v>2389</v>
      </c>
      <c r="L13" t="n">
        <v>19200000</v>
      </c>
      <c r="M13" t="n">
        <v>28300000</v>
      </c>
      <c r="N13" t="inlineStr"/>
      <c r="O13" t="inlineStr"/>
      <c r="P13" t="inlineStr">
        <is>
          <t>EUR</t>
        </is>
      </c>
      <c r="Q13" t="n">
        <v>0.1983930778739184</v>
      </c>
      <c r="R13" t="n">
        <v>18.90187156258867</v>
      </c>
      <c r="S13" t="n">
        <v>0.03935981334828666</v>
      </c>
    </row>
    <row r="14">
      <c r="A14" t="inlineStr">
        <is>
          <t>ALLIANZ</t>
        </is>
      </c>
      <c r="B14" t="n">
        <v>2021</v>
      </c>
      <c r="C14" t="inlineStr">
        <is>
          <t>Business and Financial Services</t>
        </is>
      </c>
      <c r="D14" t="inlineStr">
        <is>
          <t>DEU</t>
        </is>
      </c>
      <c r="E14" t="inlineStr">
        <is>
          <t>Germany</t>
        </is>
      </c>
      <c r="F14" t="inlineStr">
        <is>
          <t>TUR</t>
        </is>
      </c>
      <c r="G14" t="inlineStr">
        <is>
          <t>Turkey</t>
        </is>
      </c>
      <c r="H14" t="n">
        <v>1168700000</v>
      </c>
      <c r="I14" t="n">
        <v>209400000</v>
      </c>
      <c r="J14" t="n">
        <v>45700000</v>
      </c>
      <c r="K14" t="n">
        <v>2392</v>
      </c>
      <c r="L14" t="n">
        <v>40500000</v>
      </c>
      <c r="M14" t="n">
        <v>48800000</v>
      </c>
      <c r="N14" t="inlineStr"/>
      <c r="O14" t="inlineStr"/>
      <c r="P14" t="inlineStr">
        <is>
          <t>EUR</t>
        </is>
      </c>
      <c r="Q14" t="n">
        <v>0.2182425978987584</v>
      </c>
      <c r="R14" t="n">
        <v>19.15975685640071</v>
      </c>
      <c r="S14" t="n">
        <v>0.04762983153759912</v>
      </c>
    </row>
    <row r="15">
      <c r="A15" t="inlineStr">
        <is>
          <t>ALLIANZ</t>
        </is>
      </c>
      <c r="B15" t="n">
        <v>2021</v>
      </c>
      <c r="C15" t="inlineStr">
        <is>
          <t>Business and Financial Services</t>
        </is>
      </c>
      <c r="D15" t="inlineStr">
        <is>
          <t>DEU</t>
        </is>
      </c>
      <c r="E15" t="inlineStr">
        <is>
          <t>Germany</t>
        </is>
      </c>
      <c r="F15" t="inlineStr">
        <is>
          <t>TWN</t>
        </is>
      </c>
      <c r="G15" t="inlineStr">
        <is>
          <t>Taiwan</t>
        </is>
      </c>
      <c r="H15" t="n">
        <v>948600000</v>
      </c>
      <c r="I15" t="n">
        <v>134300000</v>
      </c>
      <c r="J15" t="n">
        <v>6800000</v>
      </c>
      <c r="K15" t="n">
        <v>801</v>
      </c>
      <c r="L15" t="n">
        <v>13300000</v>
      </c>
      <c r="M15" t="n">
        <v>8500000</v>
      </c>
      <c r="N15" t="inlineStr"/>
      <c r="O15" t="inlineStr"/>
      <c r="P15" t="inlineStr">
        <is>
          <t>EUR</t>
        </is>
      </c>
      <c r="Q15" t="n">
        <v>0.05063291139240506</v>
      </c>
      <c r="R15" t="n">
        <v>18.71558666149346</v>
      </c>
      <c r="S15" t="n">
        <v>0.002563691716071142</v>
      </c>
    </row>
    <row r="16">
      <c r="A16" t="inlineStr">
        <is>
          <t>ALLIANZ</t>
        </is>
      </c>
      <c r="B16" t="n">
        <v>2021</v>
      </c>
      <c r="C16" t="inlineStr">
        <is>
          <t>Business and Financial Services</t>
        </is>
      </c>
      <c r="D16" t="inlineStr">
        <is>
          <t>DEU</t>
        </is>
      </c>
      <c r="E16" t="inlineStr">
        <is>
          <t>Germany</t>
        </is>
      </c>
      <c r="F16" t="inlineStr">
        <is>
          <t>MYS</t>
        </is>
      </c>
      <c r="G16" t="inlineStr">
        <is>
          <t>Malaysia</t>
        </is>
      </c>
      <c r="H16" t="n">
        <v>899000000</v>
      </c>
      <c r="I16" t="n">
        <v>152400000</v>
      </c>
      <c r="J16" t="n">
        <v>33000000</v>
      </c>
      <c r="K16" t="n">
        <v>1902</v>
      </c>
      <c r="L16" t="n">
        <v>15600000</v>
      </c>
      <c r="M16" t="n">
        <v>28600000</v>
      </c>
      <c r="N16" t="inlineStr"/>
      <c r="O16" t="inlineStr"/>
      <c r="P16" t="inlineStr">
        <is>
          <t>EUR</t>
        </is>
      </c>
      <c r="Q16" t="n">
        <v>0.2165354330708661</v>
      </c>
      <c r="R16" t="n">
        <v>18.84201920121682</v>
      </c>
      <c r="S16" t="n">
        <v>0.04688759377518755</v>
      </c>
    </row>
    <row r="17">
      <c r="A17" t="inlineStr">
        <is>
          <t>ALLIANZ</t>
        </is>
      </c>
      <c r="B17" t="n">
        <v>2021</v>
      </c>
      <c r="C17" t="inlineStr">
        <is>
          <t>Business and Financial Services</t>
        </is>
      </c>
      <c r="D17" t="inlineStr">
        <is>
          <t>DEU</t>
        </is>
      </c>
      <c r="E17" t="inlineStr">
        <is>
          <t>Germany</t>
        </is>
      </c>
      <c r="F17" t="inlineStr">
        <is>
          <t>CZE</t>
        </is>
      </c>
      <c r="G17" t="inlineStr">
        <is>
          <t>Czechia</t>
        </is>
      </c>
      <c r="H17" t="n">
        <v>649800000</v>
      </c>
      <c r="I17" t="n">
        <v>83200000</v>
      </c>
      <c r="J17" t="n">
        <v>27200000</v>
      </c>
      <c r="K17" t="n">
        <v>891</v>
      </c>
      <c r="L17" t="n">
        <v>62600000</v>
      </c>
      <c r="M17" t="n">
        <v>28100000</v>
      </c>
      <c r="N17" t="inlineStr"/>
      <c r="O17" t="inlineStr"/>
      <c r="P17" t="inlineStr">
        <is>
          <t>EUR</t>
        </is>
      </c>
      <c r="Q17" t="n">
        <v>0.3269230769230769</v>
      </c>
      <c r="R17" t="n">
        <v>18.23675790579144</v>
      </c>
      <c r="S17" t="n">
        <v>0.1068786982248521</v>
      </c>
    </row>
    <row r="18">
      <c r="A18" t="inlineStr">
        <is>
          <t>ALLIANZ</t>
        </is>
      </c>
      <c r="B18" t="n">
        <v>2021</v>
      </c>
      <c r="C18" t="inlineStr">
        <is>
          <t>Business and Financial Services</t>
        </is>
      </c>
      <c r="D18" t="inlineStr">
        <is>
          <t>DEU</t>
        </is>
      </c>
      <c r="E18" t="inlineStr">
        <is>
          <t>Germany</t>
        </is>
      </c>
      <c r="F18" t="inlineStr">
        <is>
          <t>SVK</t>
        </is>
      </c>
      <c r="G18" t="inlineStr">
        <is>
          <t>Slovakia</t>
        </is>
      </c>
      <c r="H18" t="n">
        <v>612800000</v>
      </c>
      <c r="I18" t="n">
        <v>140900000</v>
      </c>
      <c r="J18" t="n">
        <v>40500000</v>
      </c>
      <c r="K18" t="n">
        <v>1128</v>
      </c>
      <c r="L18" t="n">
        <v>69900000</v>
      </c>
      <c r="M18" t="n">
        <v>35400000</v>
      </c>
      <c r="N18" t="inlineStr"/>
      <c r="O18" t="inlineStr"/>
      <c r="P18" t="inlineStr">
        <is>
          <t>EUR</t>
        </is>
      </c>
      <c r="Q18" t="n">
        <v>0.2874378992193045</v>
      </c>
      <c r="R18" t="n">
        <v>18.76356097686891</v>
      </c>
      <c r="S18" t="n">
        <v>0.08262054590760702</v>
      </c>
    </row>
    <row r="19">
      <c r="A19" t="inlineStr">
        <is>
          <t>ALLIANZ</t>
        </is>
      </c>
      <c r="B19" t="n">
        <v>2021</v>
      </c>
      <c r="C19" t="inlineStr">
        <is>
          <t>Business and Financial Services</t>
        </is>
      </c>
      <c r="D19" t="inlineStr">
        <is>
          <t>DEU</t>
        </is>
      </c>
      <c r="E19" t="inlineStr">
        <is>
          <t>Germany</t>
        </is>
      </c>
      <c r="F19" t="inlineStr">
        <is>
          <t>POL</t>
        </is>
      </c>
      <c r="G19" t="inlineStr">
        <is>
          <t>Poland</t>
        </is>
      </c>
      <c r="H19" t="n">
        <v>591400000</v>
      </c>
      <c r="I19" t="n">
        <v>89500000</v>
      </c>
      <c r="J19" t="n">
        <v>15300000</v>
      </c>
      <c r="K19" t="n">
        <v>5616</v>
      </c>
      <c r="L19" t="n">
        <v>30500000</v>
      </c>
      <c r="M19" t="n">
        <v>16500000</v>
      </c>
      <c r="N19" t="inlineStr"/>
      <c r="O19" t="inlineStr"/>
      <c r="P19" t="inlineStr">
        <is>
          <t>EUR</t>
        </is>
      </c>
      <c r="Q19" t="n">
        <v>0.170949720670391</v>
      </c>
      <c r="R19" t="n">
        <v>18.30974918324508</v>
      </c>
      <c r="S19" t="n">
        <v>0.02922380699728473</v>
      </c>
    </row>
    <row r="20">
      <c r="A20" t="inlineStr">
        <is>
          <t>ALLIANZ</t>
        </is>
      </c>
      <c r="B20" t="n">
        <v>2021</v>
      </c>
      <c r="C20" t="inlineStr">
        <is>
          <t>Business and Financial Services</t>
        </is>
      </c>
      <c r="D20" t="inlineStr">
        <is>
          <t>DEU</t>
        </is>
      </c>
      <c r="E20" t="inlineStr">
        <is>
          <t>Germany</t>
        </is>
      </c>
      <c r="F20" t="inlineStr">
        <is>
          <t>HKG</t>
        </is>
      </c>
      <c r="G20" t="inlineStr">
        <is>
          <t>Hong Kong</t>
        </is>
      </c>
      <c r="H20" t="n">
        <v>552600000</v>
      </c>
      <c r="I20" t="n">
        <v>95000000</v>
      </c>
      <c r="J20" t="n">
        <v>9900000</v>
      </c>
      <c r="K20" t="n">
        <v>191</v>
      </c>
      <c r="L20" t="n">
        <v>0</v>
      </c>
      <c r="M20" t="n">
        <v>16700000</v>
      </c>
      <c r="N20" t="inlineStr"/>
      <c r="O20" t="inlineStr"/>
      <c r="P20" t="inlineStr">
        <is>
          <t>EUR</t>
        </is>
      </c>
      <c r="Q20" t="n">
        <v>0.1042105263157895</v>
      </c>
      <c r="R20" t="n">
        <v>18.36938744956482</v>
      </c>
      <c r="S20" t="n">
        <v>0.01085983379501385</v>
      </c>
    </row>
    <row r="21">
      <c r="A21" t="inlineStr">
        <is>
          <t>ALLIANZ</t>
        </is>
      </c>
      <c r="B21" t="n">
        <v>2021</v>
      </c>
      <c r="C21" t="inlineStr">
        <is>
          <t>Business and Financial Services</t>
        </is>
      </c>
      <c r="D21" t="inlineStr">
        <is>
          <t>DEU</t>
        </is>
      </c>
      <c r="E21" t="inlineStr">
        <is>
          <t>Germany</t>
        </is>
      </c>
      <c r="F21" t="inlineStr">
        <is>
          <t>PRT</t>
        </is>
      </c>
      <c r="G21" t="inlineStr">
        <is>
          <t>Portugal</t>
        </is>
      </c>
      <c r="H21" t="n">
        <v>536700000</v>
      </c>
      <c r="I21" t="n">
        <v>54500000</v>
      </c>
      <c r="J21" t="n">
        <v>22300000</v>
      </c>
      <c r="K21" t="n">
        <v>631</v>
      </c>
      <c r="L21" t="n">
        <v>26400000</v>
      </c>
      <c r="M21" t="n">
        <v>14400000</v>
      </c>
      <c r="N21" t="inlineStr"/>
      <c r="O21" t="inlineStr"/>
      <c r="P21" t="inlineStr">
        <is>
          <t>EUR</t>
        </is>
      </c>
      <c r="Q21" t="n">
        <v>0.4091743119266055</v>
      </c>
      <c r="R21" t="n">
        <v>17.81371125963347</v>
      </c>
      <c r="S21" t="n">
        <v>0.1674236175406111</v>
      </c>
    </row>
    <row r="22">
      <c r="A22" t="inlineStr">
        <is>
          <t>ALLIANZ</t>
        </is>
      </c>
      <c r="B22" t="n">
        <v>2021</v>
      </c>
      <c r="C22" t="inlineStr">
        <is>
          <t>Business and Financial Services</t>
        </is>
      </c>
      <c r="D22" t="inlineStr">
        <is>
          <t>DEU</t>
        </is>
      </c>
      <c r="E22" t="inlineStr">
        <is>
          <t>Germany</t>
        </is>
      </c>
      <c r="F22" t="inlineStr">
        <is>
          <t>MEX</t>
        </is>
      </c>
      <c r="G22" t="inlineStr">
        <is>
          <t>Mexico</t>
        </is>
      </c>
      <c r="H22" t="n">
        <v>455100000</v>
      </c>
      <c r="I22" t="n">
        <v>54700000</v>
      </c>
      <c r="J22" t="n">
        <v>14800000</v>
      </c>
      <c r="K22" t="n">
        <v>473</v>
      </c>
      <c r="L22" t="n">
        <v>4600000</v>
      </c>
      <c r="M22" t="n">
        <v>13900000</v>
      </c>
      <c r="N22" t="inlineStr"/>
      <c r="O22" t="inlineStr"/>
      <c r="P22" t="inlineStr">
        <is>
          <t>EUR</t>
        </is>
      </c>
      <c r="Q22" t="n">
        <v>0.2705667276051189</v>
      </c>
      <c r="R22" t="n">
        <v>17.81737426739221</v>
      </c>
      <c r="S22" t="n">
        <v>0.07320635408694258</v>
      </c>
    </row>
    <row r="23">
      <c r="A23" t="inlineStr">
        <is>
          <t>ALLIANZ</t>
        </is>
      </c>
      <c r="B23" t="n">
        <v>2021</v>
      </c>
      <c r="C23" t="inlineStr">
        <is>
          <t>Business and Financial Services</t>
        </is>
      </c>
      <c r="D23" t="inlineStr">
        <is>
          <t>DEU</t>
        </is>
      </c>
      <c r="E23" t="inlineStr">
        <is>
          <t>Germany</t>
        </is>
      </c>
      <c r="F23" t="inlineStr">
        <is>
          <t>IDN</t>
        </is>
      </c>
      <c r="G23" t="inlineStr">
        <is>
          <t>Indonesia</t>
        </is>
      </c>
      <c r="H23" t="n">
        <v>444100000</v>
      </c>
      <c r="I23" t="n">
        <v>80400000</v>
      </c>
      <c r="J23" t="n">
        <v>21500000</v>
      </c>
      <c r="K23" t="n">
        <v>1269</v>
      </c>
      <c r="L23" t="n">
        <v>14100000</v>
      </c>
      <c r="M23" t="n">
        <v>12400000</v>
      </c>
      <c r="N23" t="inlineStr"/>
      <c r="O23" t="inlineStr"/>
      <c r="P23" t="inlineStr">
        <is>
          <t>EUR</t>
        </is>
      </c>
      <c r="Q23" t="n">
        <v>0.2674129353233831</v>
      </c>
      <c r="R23" t="n">
        <v>18.20252473414919</v>
      </c>
      <c r="S23" t="n">
        <v>0.07150967797826785</v>
      </c>
    </row>
    <row r="24">
      <c r="A24" t="inlineStr">
        <is>
          <t>ALLIANZ</t>
        </is>
      </c>
      <c r="B24" t="n">
        <v>2021</v>
      </c>
      <c r="C24" t="inlineStr">
        <is>
          <t>Business and Financial Services</t>
        </is>
      </c>
      <c r="D24" t="inlineStr">
        <is>
          <t>DEU</t>
        </is>
      </c>
      <c r="E24" t="inlineStr">
        <is>
          <t>Germany</t>
        </is>
      </c>
      <c r="F24" t="inlineStr">
        <is>
          <t>HUN</t>
        </is>
      </c>
      <c r="G24" t="inlineStr">
        <is>
          <t>Hungary</t>
        </is>
      </c>
      <c r="H24" t="n">
        <v>395300000</v>
      </c>
      <c r="I24" t="n">
        <v>71600000</v>
      </c>
      <c r="J24" t="n">
        <v>10900000</v>
      </c>
      <c r="K24" t="n">
        <v>953</v>
      </c>
      <c r="L24" t="n">
        <v>31300000</v>
      </c>
      <c r="M24" t="n">
        <v>12000000</v>
      </c>
      <c r="N24" t="inlineStr"/>
      <c r="O24" t="inlineStr"/>
      <c r="P24" t="inlineStr">
        <is>
          <t>EUR</t>
        </is>
      </c>
      <c r="Q24" t="n">
        <v>0.1522346368715084</v>
      </c>
      <c r="R24" t="n">
        <v>18.08660563193087</v>
      </c>
      <c r="S24" t="n">
        <v>0.02317538466340002</v>
      </c>
    </row>
    <row r="25">
      <c r="A25" t="inlineStr">
        <is>
          <t>ALLIANZ</t>
        </is>
      </c>
      <c r="B25" t="n">
        <v>2021</v>
      </c>
      <c r="C25" t="inlineStr">
        <is>
          <t>Business and Financial Services</t>
        </is>
      </c>
      <c r="D25" t="inlineStr">
        <is>
          <t>DEU</t>
        </is>
      </c>
      <c r="E25" t="inlineStr">
        <is>
          <t>Germany</t>
        </is>
      </c>
      <c r="F25" t="inlineStr">
        <is>
          <t>ROU</t>
        </is>
      </c>
      <c r="G25" t="inlineStr">
        <is>
          <t>Romania</t>
        </is>
      </c>
      <c r="H25" t="n">
        <v>303300000</v>
      </c>
      <c r="I25" t="n">
        <v>47200000</v>
      </c>
      <c r="J25" t="n">
        <v>6700000</v>
      </c>
      <c r="K25" t="n">
        <v>1205</v>
      </c>
      <c r="L25" t="n">
        <v>16600000</v>
      </c>
      <c r="M25" t="n">
        <v>6800000</v>
      </c>
      <c r="N25" t="inlineStr"/>
      <c r="O25" t="inlineStr"/>
      <c r="P25" t="inlineStr">
        <is>
          <t>EUR</t>
        </is>
      </c>
      <c r="Q25" t="n">
        <v>0.1419491525423729</v>
      </c>
      <c r="R25" t="n">
        <v>17.66990445055578</v>
      </c>
      <c r="S25" t="n">
        <v>0.02014956190749785</v>
      </c>
    </row>
    <row r="26">
      <c r="A26" t="inlineStr">
        <is>
          <t>ALLIANZ</t>
        </is>
      </c>
      <c r="B26" t="n">
        <v>2021</v>
      </c>
      <c r="C26" t="inlineStr">
        <is>
          <t>Business and Financial Services</t>
        </is>
      </c>
      <c r="D26" t="inlineStr">
        <is>
          <t>DEU</t>
        </is>
      </c>
      <c r="E26" t="inlineStr">
        <is>
          <t>Germany</t>
        </is>
      </c>
      <c r="F26" t="inlineStr">
        <is>
          <t>COL</t>
        </is>
      </c>
      <c r="G26" t="inlineStr">
        <is>
          <t>Colombia</t>
        </is>
      </c>
      <c r="H26" t="n">
        <v>293800000</v>
      </c>
      <c r="I26" t="n">
        <v>10400000</v>
      </c>
      <c r="J26" t="n">
        <v>2600000</v>
      </c>
      <c r="K26" t="n">
        <v>896</v>
      </c>
      <c r="L26" t="n">
        <v>5800000</v>
      </c>
      <c r="M26" t="n">
        <v>500000</v>
      </c>
      <c r="N26" t="inlineStr"/>
      <c r="O26" t="inlineStr"/>
      <c r="P26" t="inlineStr">
        <is>
          <t>EUR</t>
        </is>
      </c>
      <c r="Q26" t="n">
        <v>0.25</v>
      </c>
      <c r="R26" t="n">
        <v>16.1573163641116</v>
      </c>
      <c r="S26" t="n">
        <v>0.0625</v>
      </c>
    </row>
    <row r="27">
      <c r="A27" t="inlineStr">
        <is>
          <t>ALLIANZ</t>
        </is>
      </c>
      <c r="B27" t="n">
        <v>2021</v>
      </c>
      <c r="C27" t="inlineStr">
        <is>
          <t>Business and Financial Services</t>
        </is>
      </c>
      <c r="D27" t="inlineStr">
        <is>
          <t>DEU</t>
        </is>
      </c>
      <c r="E27" t="inlineStr">
        <is>
          <t>Germany</t>
        </is>
      </c>
      <c r="F27" t="inlineStr">
        <is>
          <t>EGY</t>
        </is>
      </c>
      <c r="G27" t="inlineStr">
        <is>
          <t>Egypt</t>
        </is>
      </c>
      <c r="H27" t="n">
        <v>258100000</v>
      </c>
      <c r="I27" t="n">
        <v>57900000</v>
      </c>
      <c r="J27" t="n">
        <v>12400000</v>
      </c>
      <c r="K27" t="n">
        <v>1488</v>
      </c>
      <c r="L27" t="n">
        <v>23300000</v>
      </c>
      <c r="M27" t="n">
        <v>12400000</v>
      </c>
      <c r="N27" t="inlineStr"/>
      <c r="O27" t="inlineStr"/>
      <c r="P27" t="inlineStr">
        <is>
          <t>EUR</t>
        </is>
      </c>
      <c r="Q27" t="n">
        <v>0.2141623488773748</v>
      </c>
      <c r="R27" t="n">
        <v>17.87422794254323</v>
      </c>
      <c r="S27" t="n">
        <v>0.04586551167667439</v>
      </c>
    </row>
    <row r="28">
      <c r="A28" t="inlineStr">
        <is>
          <t>ALLIANZ</t>
        </is>
      </c>
      <c r="B28" t="n">
        <v>2021</v>
      </c>
      <c r="C28" t="inlineStr">
        <is>
          <t>Business and Financial Services</t>
        </is>
      </c>
      <c r="D28" t="inlineStr">
        <is>
          <t>DEU</t>
        </is>
      </c>
      <c r="E28" t="inlineStr">
        <is>
          <t>Germany</t>
        </is>
      </c>
      <c r="F28" t="inlineStr">
        <is>
          <t>LBN</t>
        </is>
      </c>
      <c r="G28" t="inlineStr">
        <is>
          <t>Lebanon</t>
        </is>
      </c>
      <c r="H28" t="n">
        <v>257600000</v>
      </c>
      <c r="I28" t="n">
        <v>178900000</v>
      </c>
      <c r="J28" t="n">
        <v>2500000</v>
      </c>
      <c r="K28" t="n">
        <v>199</v>
      </c>
      <c r="L28" t="n">
        <v>29900000</v>
      </c>
      <c r="M28" t="n">
        <v>2900000</v>
      </c>
      <c r="N28" t="inlineStr"/>
      <c r="O28" t="inlineStr"/>
      <c r="P28" t="inlineStr">
        <is>
          <t>EUR</t>
        </is>
      </c>
      <c r="Q28" t="n">
        <v>0.01397428731134712</v>
      </c>
      <c r="R28" t="n">
        <v>19.00233754847895</v>
      </c>
      <c r="S28" t="n">
        <v>0.0001952807058600772</v>
      </c>
    </row>
    <row r="29">
      <c r="A29" t="inlineStr">
        <is>
          <t>ALLIANZ</t>
        </is>
      </c>
      <c r="B29" t="n">
        <v>2021</v>
      </c>
      <c r="C29" t="inlineStr">
        <is>
          <t>Business and Financial Services</t>
        </is>
      </c>
      <c r="D29" t="inlineStr">
        <is>
          <t>DEU</t>
        </is>
      </c>
      <c r="E29" t="inlineStr">
        <is>
          <t>Germany</t>
        </is>
      </c>
      <c r="F29" t="inlineStr">
        <is>
          <t>RUS</t>
        </is>
      </c>
      <c r="G29" t="inlineStr">
        <is>
          <t>Russia</t>
        </is>
      </c>
      <c r="H29" t="n">
        <v>241700000</v>
      </c>
      <c r="I29" t="n">
        <v>31800000</v>
      </c>
      <c r="J29" t="n">
        <v>5100000</v>
      </c>
      <c r="K29" t="n">
        <v>1189</v>
      </c>
      <c r="L29" t="n">
        <v>14200000</v>
      </c>
      <c r="M29" t="n">
        <v>6100000</v>
      </c>
      <c r="N29" t="inlineStr"/>
      <c r="O29" t="inlineStr"/>
      <c r="P29" t="inlineStr">
        <is>
          <t>EUR</t>
        </is>
      </c>
      <c r="Q29" t="n">
        <v>0.160377358490566</v>
      </c>
      <c r="R29" t="n">
        <v>17.27497684775041</v>
      </c>
      <c r="S29" t="n">
        <v>0.02572089711641153</v>
      </c>
    </row>
    <row r="30">
      <c r="A30" t="inlineStr">
        <is>
          <t>ALLIANZ</t>
        </is>
      </c>
      <c r="B30" t="n">
        <v>2021</v>
      </c>
      <c r="C30" t="inlineStr">
        <is>
          <t>Business and Financial Services</t>
        </is>
      </c>
      <c r="D30" t="inlineStr">
        <is>
          <t>DEU</t>
        </is>
      </c>
      <c r="E30" t="inlineStr">
        <is>
          <t>Germany</t>
        </is>
      </c>
      <c r="F30" t="inlineStr">
        <is>
          <t>BGR</t>
        </is>
      </c>
      <c r="G30" t="inlineStr">
        <is>
          <t>Bulgaria</t>
        </is>
      </c>
      <c r="H30" t="n">
        <v>191400000</v>
      </c>
      <c r="I30" t="n">
        <v>43800000</v>
      </c>
      <c r="J30" t="n">
        <v>4500000</v>
      </c>
      <c r="K30" t="n">
        <v>923</v>
      </c>
      <c r="L30" t="n">
        <v>20700000</v>
      </c>
      <c r="M30" t="n">
        <v>4800000</v>
      </c>
      <c r="N30" t="inlineStr"/>
      <c r="O30" t="inlineStr"/>
      <c r="P30" t="inlineStr">
        <is>
          <t>EUR</t>
        </is>
      </c>
      <c r="Q30" t="n">
        <v>0.1027397260273973</v>
      </c>
      <c r="R30" t="n">
        <v>17.59514437534667</v>
      </c>
      <c r="S30" t="n">
        <v>0.01055545130418465</v>
      </c>
    </row>
    <row r="31">
      <c r="A31" t="inlineStr">
        <is>
          <t>ALLIANZ</t>
        </is>
      </c>
      <c r="B31" t="n">
        <v>2021</v>
      </c>
      <c r="C31" t="inlineStr">
        <is>
          <t>Business and Financial Services</t>
        </is>
      </c>
      <c r="D31" t="inlineStr">
        <is>
          <t>DEU</t>
        </is>
      </c>
      <c r="E31" t="inlineStr">
        <is>
          <t>Germany</t>
        </is>
      </c>
      <c r="F31" t="inlineStr">
        <is>
          <t>HRV</t>
        </is>
      </c>
      <c r="G31" t="inlineStr">
        <is>
          <t>Croatia</t>
        </is>
      </c>
      <c r="H31" t="n">
        <v>159900000</v>
      </c>
      <c r="I31" t="n">
        <v>23000000</v>
      </c>
      <c r="J31" t="n">
        <v>3300000</v>
      </c>
      <c r="K31" t="n">
        <v>414</v>
      </c>
      <c r="L31" t="n">
        <v>7100000</v>
      </c>
      <c r="M31" t="n">
        <v>4600000</v>
      </c>
      <c r="N31" t="inlineStr"/>
      <c r="O31" t="inlineStr"/>
      <c r="P31" t="inlineStr">
        <is>
          <t>EUR</t>
        </is>
      </c>
      <c r="Q31" t="n">
        <v>0.1434782608695652</v>
      </c>
      <c r="R31" t="n">
        <v>16.95100477389342</v>
      </c>
      <c r="S31" t="n">
        <v>0.02058601134215501</v>
      </c>
    </row>
    <row r="32">
      <c r="A32" t="inlineStr">
        <is>
          <t>ALLIANZ</t>
        </is>
      </c>
      <c r="B32" t="n">
        <v>2021</v>
      </c>
      <c r="C32" t="inlineStr">
        <is>
          <t>Business and Financial Services</t>
        </is>
      </c>
      <c r="D32" t="inlineStr">
        <is>
          <t>DEU</t>
        </is>
      </c>
      <c r="E32" t="inlineStr">
        <is>
          <t>Germany</t>
        </is>
      </c>
      <c r="F32" t="inlineStr">
        <is>
          <t>MAR</t>
        </is>
      </c>
      <c r="G32" t="inlineStr">
        <is>
          <t>Morocco</t>
        </is>
      </c>
      <c r="H32" t="n">
        <v>131500000</v>
      </c>
      <c r="I32" t="n">
        <v>13000000</v>
      </c>
      <c r="J32" t="n">
        <v>400000</v>
      </c>
      <c r="K32" t="n">
        <v>399</v>
      </c>
      <c r="L32" t="n">
        <v>23200000</v>
      </c>
      <c r="M32" t="n">
        <v>900000</v>
      </c>
      <c r="N32" t="inlineStr"/>
      <c r="O32" t="inlineStr"/>
      <c r="P32" t="inlineStr">
        <is>
          <t>EUR</t>
        </is>
      </c>
      <c r="Q32" t="n">
        <v>0.03076923076923077</v>
      </c>
      <c r="R32" t="n">
        <v>16.38045991542581</v>
      </c>
      <c r="S32" t="n">
        <v>0.0009467455621301776</v>
      </c>
    </row>
    <row r="33">
      <c r="A33" t="inlineStr">
        <is>
          <t>ALLIANZ</t>
        </is>
      </c>
      <c r="B33" t="n">
        <v>2021</v>
      </c>
      <c r="C33" t="inlineStr">
        <is>
          <t>Business and Financial Services</t>
        </is>
      </c>
      <c r="D33" t="inlineStr">
        <is>
          <t>DEU</t>
        </is>
      </c>
      <c r="E33" t="inlineStr">
        <is>
          <t>Germany</t>
        </is>
      </c>
      <c r="F33" t="inlineStr">
        <is>
          <t>JPN</t>
        </is>
      </c>
      <c r="G33" t="inlineStr">
        <is>
          <t>Japan</t>
        </is>
      </c>
      <c r="H33" t="n">
        <v>72000000</v>
      </c>
      <c r="I33" t="n">
        <v>13000000</v>
      </c>
      <c r="J33" t="n">
        <v>2000000</v>
      </c>
      <c r="K33" t="n">
        <v>256</v>
      </c>
      <c r="L33" t="n">
        <v>900000</v>
      </c>
      <c r="M33" t="n">
        <v>6500000</v>
      </c>
      <c r="N33" t="inlineStr"/>
      <c r="O33" t="inlineStr"/>
      <c r="P33" t="inlineStr">
        <is>
          <t>EUR</t>
        </is>
      </c>
      <c r="Q33" t="n">
        <v>0.1538461538461539</v>
      </c>
      <c r="R33" t="n">
        <v>16.38045991542581</v>
      </c>
      <c r="S33" t="n">
        <v>0.02366863905325444</v>
      </c>
    </row>
    <row r="34">
      <c r="A34" t="inlineStr">
        <is>
          <t>ALLIANZ</t>
        </is>
      </c>
      <c r="B34" t="n">
        <v>2021</v>
      </c>
      <c r="C34" t="inlineStr">
        <is>
          <t>Business and Financial Services</t>
        </is>
      </c>
      <c r="D34" t="inlineStr">
        <is>
          <t>DEU</t>
        </is>
      </c>
      <c r="E34" t="inlineStr">
        <is>
          <t>Germany</t>
        </is>
      </c>
      <c r="F34" t="inlineStr">
        <is>
          <t>BHR</t>
        </is>
      </c>
      <c r="G34" t="inlineStr">
        <is>
          <t>Bahrain</t>
        </is>
      </c>
      <c r="H34" t="n">
        <v>71600000</v>
      </c>
      <c r="I34" t="n">
        <v>6600000</v>
      </c>
      <c r="J34" t="n">
        <v>2400000</v>
      </c>
      <c r="K34" t="n">
        <v>1553</v>
      </c>
      <c r="L34" t="n">
        <v>2700000</v>
      </c>
      <c r="M34" t="n">
        <v>2000000</v>
      </c>
      <c r="N34" t="inlineStr"/>
      <c r="O34" t="inlineStr"/>
      <c r="P34" t="inlineStr">
        <is>
          <t>EUR</t>
        </is>
      </c>
      <c r="Q34" t="n">
        <v>0.3636363636363636</v>
      </c>
      <c r="R34" t="n">
        <v>15.70258020699665</v>
      </c>
      <c r="S34" t="n">
        <v>0.1322314049586777</v>
      </c>
    </row>
    <row r="35">
      <c r="A35" t="inlineStr">
        <is>
          <t>ALLIANZ</t>
        </is>
      </c>
      <c r="B35" t="n">
        <v>2021</v>
      </c>
      <c r="C35" t="inlineStr">
        <is>
          <t>Business and Financial Services</t>
        </is>
      </c>
      <c r="D35" t="inlineStr">
        <is>
          <t>DEU</t>
        </is>
      </c>
      <c r="E35" t="inlineStr">
        <is>
          <t>Germany</t>
        </is>
      </c>
      <c r="F35" t="inlineStr">
        <is>
          <t>CIV</t>
        </is>
      </c>
      <c r="G35" t="inlineStr">
        <is>
          <t>Côte d'Ivoire</t>
        </is>
      </c>
      <c r="H35" t="n">
        <v>70500000</v>
      </c>
      <c r="I35" t="n">
        <v>13000000</v>
      </c>
      <c r="J35" t="n">
        <v>3800000</v>
      </c>
      <c r="K35" t="n">
        <v>215</v>
      </c>
      <c r="L35" t="n">
        <v>6700000</v>
      </c>
      <c r="M35" t="n">
        <v>2200000</v>
      </c>
      <c r="N35" t="inlineStr"/>
      <c r="O35" t="inlineStr"/>
      <c r="P35" t="inlineStr">
        <is>
          <t>EUR</t>
        </is>
      </c>
      <c r="Q35" t="n">
        <v>0.2923076923076923</v>
      </c>
      <c r="R35" t="n">
        <v>16.38045991542581</v>
      </c>
      <c r="S35" t="n">
        <v>0.08544378698224853</v>
      </c>
    </row>
    <row r="36">
      <c r="A36" t="inlineStr">
        <is>
          <t>ALLIANZ</t>
        </is>
      </c>
      <c r="B36" t="n">
        <v>2021</v>
      </c>
      <c r="C36" t="inlineStr">
        <is>
          <t>Business and Financial Services</t>
        </is>
      </c>
      <c r="D36" t="inlineStr">
        <is>
          <t>DEU</t>
        </is>
      </c>
      <c r="E36" t="inlineStr">
        <is>
          <t>Germany</t>
        </is>
      </c>
      <c r="F36" t="inlineStr">
        <is>
          <t>IND</t>
        </is>
      </c>
      <c r="G36" t="inlineStr">
        <is>
          <t>India</t>
        </is>
      </c>
      <c r="H36" t="n">
        <v>46800000</v>
      </c>
      <c r="I36" t="n">
        <v>10100000</v>
      </c>
      <c r="J36" t="n">
        <v>2100000</v>
      </c>
      <c r="K36" t="n">
        <v>3058</v>
      </c>
      <c r="L36" t="n">
        <v>2400000</v>
      </c>
      <c r="M36" t="n">
        <v>1400000</v>
      </c>
      <c r="N36" t="inlineStr"/>
      <c r="O36" t="inlineStr"/>
      <c r="P36" t="inlineStr">
        <is>
          <t>EUR</t>
        </is>
      </c>
      <c r="Q36" t="n">
        <v>0.2079207920792079</v>
      </c>
      <c r="R36" t="n">
        <v>16.12804598181149</v>
      </c>
      <c r="S36" t="n">
        <v>0.04323105577884521</v>
      </c>
    </row>
    <row r="37">
      <c r="A37" t="inlineStr">
        <is>
          <t>ALLIANZ</t>
        </is>
      </c>
      <c r="B37" t="n">
        <v>2021</v>
      </c>
      <c r="C37" t="inlineStr">
        <is>
          <t>Business and Financial Services</t>
        </is>
      </c>
      <c r="D37" t="inlineStr">
        <is>
          <t>DEU</t>
        </is>
      </c>
      <c r="E37" t="inlineStr">
        <is>
          <t>Germany</t>
        </is>
      </c>
      <c r="F37" t="inlineStr">
        <is>
          <t>BMU</t>
        </is>
      </c>
      <c r="G37" t="inlineStr">
        <is>
          <t>Bermuda</t>
        </is>
      </c>
      <c r="H37" t="n">
        <v>37000000</v>
      </c>
      <c r="I37" t="n">
        <v>20700000</v>
      </c>
      <c r="J37" t="n">
        <v>2200000</v>
      </c>
      <c r="K37" t="n">
        <v>20</v>
      </c>
      <c r="L37" t="n">
        <v>100000</v>
      </c>
      <c r="M37" t="n">
        <v>3300000</v>
      </c>
      <c r="N37" t="inlineStr"/>
      <c r="O37" t="inlineStr"/>
      <c r="P37" t="inlineStr">
        <is>
          <t>EUR</t>
        </is>
      </c>
      <c r="Q37" t="n">
        <v>0.106280193236715</v>
      </c>
      <c r="R37" t="n">
        <v>16.8456442582356</v>
      </c>
      <c r="S37" t="n">
        <v>0.01129547947443348</v>
      </c>
    </row>
    <row r="38">
      <c r="A38" t="inlineStr">
        <is>
          <t>ALLIANZ</t>
        </is>
      </c>
      <c r="B38" t="n">
        <v>2021</v>
      </c>
      <c r="C38" t="inlineStr">
        <is>
          <t>Business and Financial Services</t>
        </is>
      </c>
      <c r="D38" t="inlineStr">
        <is>
          <t>DEU</t>
        </is>
      </c>
      <c r="E38" t="inlineStr">
        <is>
          <t>Germany</t>
        </is>
      </c>
      <c r="F38" t="inlineStr">
        <is>
          <t>OTHER</t>
        </is>
      </c>
      <c r="G38" t="inlineStr">
        <is>
          <t>Other</t>
        </is>
      </c>
      <c r="H38" t="n">
        <v>294100000</v>
      </c>
      <c r="I38" t="n">
        <v>12800000</v>
      </c>
      <c r="J38" t="n">
        <v>6300000</v>
      </c>
      <c r="K38" t="n">
        <v>4802</v>
      </c>
      <c r="L38" t="n">
        <v>98000000</v>
      </c>
      <c r="M38" t="n">
        <v>7700000</v>
      </c>
      <c r="N38" t="inlineStr"/>
      <c r="O38" t="inlineStr"/>
      <c r="P38" t="inlineStr">
        <is>
          <t>EUR</t>
        </is>
      </c>
      <c r="Q38" t="n">
        <v>0.4921875</v>
      </c>
      <c r="R38" t="n">
        <v>16.36495572888985</v>
      </c>
      <c r="S38" t="n">
        <v>0.24224853515625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mnc</t>
        </is>
      </c>
      <c r="B1" s="1" t="inlineStr">
        <is>
          <t>year</t>
        </is>
      </c>
      <c r="C1" s="1" t="inlineStr">
        <is>
          <t>sector</t>
        </is>
      </c>
      <c r="D1" s="1" t="inlineStr">
        <is>
          <t>upe_code</t>
        </is>
      </c>
      <c r="E1" s="1" t="inlineStr">
        <is>
          <t>upe_name</t>
        </is>
      </c>
      <c r="F1" s="1" t="inlineStr">
        <is>
          <t>jur_code</t>
        </is>
      </c>
      <c r="G1" s="1" t="inlineStr">
        <is>
          <t>jur_name</t>
        </is>
      </c>
      <c r="H1" s="1" t="inlineStr">
        <is>
          <t>total_revenues</t>
        </is>
      </c>
      <c r="I1" s="1" t="inlineStr">
        <is>
          <t>profit_before_tax</t>
        </is>
      </c>
      <c r="J1" s="1" t="inlineStr">
        <is>
          <t>tax_paid</t>
        </is>
      </c>
      <c r="K1" s="1" t="inlineStr">
        <is>
          <t>employees</t>
        </is>
      </c>
      <c r="L1" s="1" t="inlineStr">
        <is>
          <t>tangible_assets</t>
        </is>
      </c>
      <c r="M1" s="1" t="inlineStr">
        <is>
          <t>tax_accrued</t>
        </is>
      </c>
      <c r="N1" s="1" t="inlineStr">
        <is>
          <t>stated_capital</t>
        </is>
      </c>
      <c r="O1" s="1" t="inlineStr">
        <is>
          <t>accumulated_earnings</t>
        </is>
      </c>
      <c r="P1" s="1" t="inlineStr">
        <is>
          <t>currency</t>
        </is>
      </c>
      <c r="Q1" s="1" t="inlineStr">
        <is>
          <t>ETR</t>
        </is>
      </c>
      <c r="R1" s="1" t="inlineStr">
        <is>
          <t>ln_profits</t>
        </is>
      </c>
      <c r="S1" s="1" t="inlineStr">
        <is>
          <t>ETR_sq</t>
        </is>
      </c>
      <c r="T1" s="1" t="inlineStr">
        <is>
          <t>ln_employees</t>
        </is>
      </c>
      <c r="U1" s="1" t="inlineStr">
        <is>
          <t>ln_tangible_assets</t>
        </is>
      </c>
    </row>
    <row r="2">
      <c r="A2" t="inlineStr">
        <is>
          <t>ALLIANZ</t>
        </is>
      </c>
      <c r="B2" t="n">
        <v>2021</v>
      </c>
      <c r="C2" t="inlineStr">
        <is>
          <t>Business and Financial Services</t>
        </is>
      </c>
      <c r="D2" t="inlineStr">
        <is>
          <t>DEU</t>
        </is>
      </c>
      <c r="E2" t="inlineStr">
        <is>
          <t>Germany</t>
        </is>
      </c>
      <c r="F2" t="inlineStr">
        <is>
          <t>DEU</t>
        </is>
      </c>
      <c r="G2" t="inlineStr">
        <is>
          <t>Germany</t>
        </is>
      </c>
      <c r="H2" t="n">
        <v>54357000000</v>
      </c>
      <c r="I2" t="n">
        <v>2128500000</v>
      </c>
      <c r="J2" t="n">
        <v>735700000</v>
      </c>
      <c r="K2" t="n">
        <v>46081</v>
      </c>
      <c r="L2" t="n">
        <v>5143300000</v>
      </c>
      <c r="M2" t="n">
        <v>513500000</v>
      </c>
      <c r="N2" t="inlineStr"/>
      <c r="O2" t="inlineStr"/>
      <c r="P2" t="inlineStr">
        <is>
          <t>EUR</t>
        </is>
      </c>
      <c r="Q2" t="n">
        <v>0.3456424712238666</v>
      </c>
      <c r="R2" t="n">
        <v>21.47868334323248</v>
      </c>
      <c r="S2" t="n">
        <v>0.1194687179137414</v>
      </c>
      <c r="T2" t="n">
        <v>10.73815599652319</v>
      </c>
      <c r="U2" t="n">
        <v>22.36096073375097</v>
      </c>
    </row>
    <row r="3">
      <c r="A3" t="inlineStr">
        <is>
          <t>ALLIANZ</t>
        </is>
      </c>
      <c r="B3" t="n">
        <v>2021</v>
      </c>
      <c r="C3" t="inlineStr">
        <is>
          <t>Business and Financial Services</t>
        </is>
      </c>
      <c r="D3" t="inlineStr">
        <is>
          <t>DEU</t>
        </is>
      </c>
      <c r="E3" t="inlineStr">
        <is>
          <t>Germany</t>
        </is>
      </c>
      <c r="F3" t="inlineStr">
        <is>
          <t>FRA</t>
        </is>
      </c>
      <c r="G3" t="inlineStr">
        <is>
          <t>France</t>
        </is>
      </c>
      <c r="H3" t="n">
        <v>14235800000</v>
      </c>
      <c r="I3" t="n">
        <v>753100000</v>
      </c>
      <c r="J3" t="n">
        <v>203200000</v>
      </c>
      <c r="K3" t="n">
        <v>26239</v>
      </c>
      <c r="L3" t="n">
        <v>4382100000</v>
      </c>
      <c r="M3" t="n">
        <v>184300000</v>
      </c>
      <c r="N3" t="inlineStr"/>
      <c r="O3" t="inlineStr"/>
      <c r="P3" t="inlineStr">
        <is>
          <t>EUR</t>
        </is>
      </c>
      <c r="Q3" t="n">
        <v>0.2698180852476431</v>
      </c>
      <c r="R3" t="n">
        <v>20.43970857907158</v>
      </c>
      <c r="S3" t="n">
        <v>0.07280179912670437</v>
      </c>
      <c r="T3" t="n">
        <v>10.17500213257573</v>
      </c>
      <c r="U3" t="n">
        <v>22.20079389848915</v>
      </c>
    </row>
    <row r="4">
      <c r="A4" t="inlineStr">
        <is>
          <t>ALLIANZ</t>
        </is>
      </c>
      <c r="B4" t="n">
        <v>2021</v>
      </c>
      <c r="C4" t="inlineStr">
        <is>
          <t>Business and Financial Services</t>
        </is>
      </c>
      <c r="D4" t="inlineStr">
        <is>
          <t>DEU</t>
        </is>
      </c>
      <c r="E4" t="inlineStr">
        <is>
          <t>Germany</t>
        </is>
      </c>
      <c r="F4" t="inlineStr">
        <is>
          <t>ITA</t>
        </is>
      </c>
      <c r="G4" t="inlineStr">
        <is>
          <t>Italy</t>
        </is>
      </c>
      <c r="H4" t="n">
        <v>6365000000</v>
      </c>
      <c r="I4" t="n">
        <v>810000000</v>
      </c>
      <c r="J4" t="n">
        <v>245800000</v>
      </c>
      <c r="K4" t="n">
        <v>4876</v>
      </c>
      <c r="L4" t="n">
        <v>1230300000</v>
      </c>
      <c r="M4" t="n">
        <v>218100000</v>
      </c>
      <c r="N4" t="inlineStr"/>
      <c r="O4" t="inlineStr"/>
      <c r="P4" t="inlineStr">
        <is>
          <t>EUR</t>
        </is>
      </c>
      <c r="Q4" t="n">
        <v>0.3034567901234568</v>
      </c>
      <c r="R4" t="n">
        <v>20.51254480563076</v>
      </c>
      <c r="S4" t="n">
        <v>0.09208602347203169</v>
      </c>
      <c r="T4" t="n">
        <v>8.492080490601163</v>
      </c>
      <c r="U4" t="n">
        <v>20.9305238790304</v>
      </c>
    </row>
    <row r="5">
      <c r="A5" t="inlineStr">
        <is>
          <t>ALLIANZ</t>
        </is>
      </c>
      <c r="B5" t="n">
        <v>2021</v>
      </c>
      <c r="C5" t="inlineStr">
        <is>
          <t>Business and Financial Services</t>
        </is>
      </c>
      <c r="D5" t="inlineStr">
        <is>
          <t>DEU</t>
        </is>
      </c>
      <c r="E5" t="inlineStr">
        <is>
          <t>Germany</t>
        </is>
      </c>
      <c r="F5" t="inlineStr">
        <is>
          <t>IRL</t>
        </is>
      </c>
      <c r="G5" t="inlineStr">
        <is>
          <t>Ireland</t>
        </is>
      </c>
      <c r="H5" t="n">
        <v>5041400000</v>
      </c>
      <c r="I5" t="n">
        <v>361700000</v>
      </c>
      <c r="J5" t="n">
        <v>60500000</v>
      </c>
      <c r="K5" t="n">
        <v>854</v>
      </c>
      <c r="L5" t="n">
        <v>13400000</v>
      </c>
      <c r="M5" t="n">
        <v>62800000</v>
      </c>
      <c r="N5" t="inlineStr"/>
      <c r="O5" t="inlineStr"/>
      <c r="P5" t="inlineStr">
        <is>
          <t>EUR</t>
        </is>
      </c>
      <c r="Q5" t="n">
        <v>0.1672656897981753</v>
      </c>
      <c r="R5" t="n">
        <v>19.70632569692233</v>
      </c>
      <c r="S5" t="n">
        <v>0.0279778109836594</v>
      </c>
      <c r="T5" t="n">
        <v>6.74993119378857</v>
      </c>
      <c r="U5" t="n">
        <v>16.41076526492114</v>
      </c>
    </row>
    <row r="6">
      <c r="A6" t="inlineStr">
        <is>
          <t>ALLIANZ</t>
        </is>
      </c>
      <c r="B6" t="n">
        <v>2021</v>
      </c>
      <c r="C6" t="inlineStr">
        <is>
          <t>Business and Financial Services</t>
        </is>
      </c>
      <c r="D6" t="inlineStr">
        <is>
          <t>DEU</t>
        </is>
      </c>
      <c r="E6" t="inlineStr">
        <is>
          <t>Germany</t>
        </is>
      </c>
      <c r="F6" t="inlineStr">
        <is>
          <t>CHE</t>
        </is>
      </c>
      <c r="G6" t="inlineStr">
        <is>
          <t>Switzerland</t>
        </is>
      </c>
      <c r="H6" t="n">
        <v>3804900000</v>
      </c>
      <c r="I6" t="n">
        <v>673300000</v>
      </c>
      <c r="J6" t="n">
        <v>77500000</v>
      </c>
      <c r="K6" t="n">
        <v>2824</v>
      </c>
      <c r="L6" t="n">
        <v>2903400000</v>
      </c>
      <c r="M6" t="n">
        <v>110800000</v>
      </c>
      <c r="N6" t="inlineStr"/>
      <c r="O6" t="inlineStr"/>
      <c r="P6" t="inlineStr">
        <is>
          <t>EUR</t>
        </is>
      </c>
      <c r="Q6" t="n">
        <v>0.115104708153869</v>
      </c>
      <c r="R6" t="n">
        <v>20.32770155351551</v>
      </c>
      <c r="S6" t="n">
        <v>0.01324909383918736</v>
      </c>
      <c r="T6" t="n">
        <v>7.945909598613133</v>
      </c>
      <c r="U6" t="n">
        <v>21.7891483009916</v>
      </c>
    </row>
    <row r="7">
      <c r="A7" t="inlineStr">
        <is>
          <t>ALLIANZ</t>
        </is>
      </c>
      <c r="B7" t="n">
        <v>2021</v>
      </c>
      <c r="C7" t="inlineStr">
        <is>
          <t>Business and Financial Services</t>
        </is>
      </c>
      <c r="D7" t="inlineStr">
        <is>
          <t>DEU</t>
        </is>
      </c>
      <c r="E7" t="inlineStr">
        <is>
          <t>Germany</t>
        </is>
      </c>
      <c r="F7" t="inlineStr">
        <is>
          <t>GBR</t>
        </is>
      </c>
      <c r="G7" t="inlineStr">
        <is>
          <t>United Kingdom</t>
        </is>
      </c>
      <c r="H7" t="n">
        <v>3608200000</v>
      </c>
      <c r="I7" t="n">
        <v>149100000</v>
      </c>
      <c r="J7" t="n">
        <v>21600000</v>
      </c>
      <c r="K7" t="n">
        <v>8541</v>
      </c>
      <c r="L7" t="n">
        <v>568700000</v>
      </c>
      <c r="M7" t="n">
        <v>26900000</v>
      </c>
      <c r="N7" t="inlineStr"/>
      <c r="O7" t="inlineStr"/>
      <c r="P7" t="inlineStr">
        <is>
          <t>EUR</t>
        </is>
      </c>
      <c r="Q7" t="n">
        <v>0.1448692152917505</v>
      </c>
      <c r="R7" t="n">
        <v>18.82012777973497</v>
      </c>
      <c r="S7" t="n">
        <v>0.02098708953924756</v>
      </c>
      <c r="T7" t="n">
        <v>9.052633375946147</v>
      </c>
      <c r="U7" t="n">
        <v>20.15886361227703</v>
      </c>
    </row>
    <row r="8">
      <c r="A8" t="inlineStr">
        <is>
          <t>ALLIANZ</t>
        </is>
      </c>
      <c r="B8" t="n">
        <v>2021</v>
      </c>
      <c r="C8" t="inlineStr">
        <is>
          <t>Business and Financial Services</t>
        </is>
      </c>
      <c r="D8" t="inlineStr">
        <is>
          <t>DEU</t>
        </is>
      </c>
      <c r="E8" t="inlineStr">
        <is>
          <t>Germany</t>
        </is>
      </c>
      <c r="F8" t="inlineStr">
        <is>
          <t>ESP</t>
        </is>
      </c>
      <c r="G8" t="inlineStr">
        <is>
          <t>Spain</t>
        </is>
      </c>
      <c r="H8" t="n">
        <v>2599100000</v>
      </c>
      <c r="I8" t="n">
        <v>173300000</v>
      </c>
      <c r="J8" t="n">
        <v>59200000</v>
      </c>
      <c r="K8" t="n">
        <v>3666</v>
      </c>
      <c r="L8" t="n">
        <v>223300000</v>
      </c>
      <c r="M8" t="n">
        <v>45600000</v>
      </c>
      <c r="N8" t="inlineStr"/>
      <c r="O8" t="inlineStr"/>
      <c r="P8" t="inlineStr">
        <is>
          <t>EUR</t>
        </is>
      </c>
      <c r="Q8" t="n">
        <v>0.3416041546451241</v>
      </c>
      <c r="R8" t="n">
        <v>18.97053475468584</v>
      </c>
      <c r="S8" t="n">
        <v>0.1166933984708098</v>
      </c>
      <c r="T8" t="n">
        <v>8.20685642839965</v>
      </c>
      <c r="U8" t="n">
        <v>19.22402671681039</v>
      </c>
    </row>
    <row r="9">
      <c r="A9" t="inlineStr">
        <is>
          <t>ALLIANZ</t>
        </is>
      </c>
      <c r="B9" t="n">
        <v>2021</v>
      </c>
      <c r="C9" t="inlineStr">
        <is>
          <t>Business and Financial Services</t>
        </is>
      </c>
      <c r="D9" t="inlineStr">
        <is>
          <t>DEU</t>
        </is>
      </c>
      <c r="E9" t="inlineStr">
        <is>
          <t>Germany</t>
        </is>
      </c>
      <c r="F9" t="inlineStr">
        <is>
          <t>NLD</t>
        </is>
      </c>
      <c r="G9" t="inlineStr">
        <is>
          <t>Netherlands</t>
        </is>
      </c>
      <c r="H9" t="n">
        <v>1982200000</v>
      </c>
      <c r="I9" t="n">
        <v>386200000</v>
      </c>
      <c r="J9" t="n">
        <v>61100000</v>
      </c>
      <c r="K9" t="n">
        <v>2083</v>
      </c>
      <c r="L9" t="n">
        <v>23000000</v>
      </c>
      <c r="M9" t="n">
        <v>66200000</v>
      </c>
      <c r="N9" t="inlineStr"/>
      <c r="O9" t="inlineStr"/>
      <c r="P9" t="inlineStr">
        <is>
          <t>EUR</t>
        </is>
      </c>
      <c r="Q9" t="n">
        <v>0.1582081822889694</v>
      </c>
      <c r="R9" t="n">
        <v>19.77186592795869</v>
      </c>
      <c r="S9" t="n">
        <v>0.02502982894317978</v>
      </c>
      <c r="T9" t="n">
        <v>7.641564441260972</v>
      </c>
      <c r="U9" t="n">
        <v>16.95100477389342</v>
      </c>
    </row>
    <row r="10">
      <c r="A10" t="inlineStr">
        <is>
          <t>ALLIANZ</t>
        </is>
      </c>
      <c r="B10" t="n">
        <v>2021</v>
      </c>
      <c r="C10" t="inlineStr">
        <is>
          <t>Business and Financial Services</t>
        </is>
      </c>
      <c r="D10" t="inlineStr">
        <is>
          <t>DEU</t>
        </is>
      </c>
      <c r="E10" t="inlineStr">
        <is>
          <t>Germany</t>
        </is>
      </c>
      <c r="F10" t="inlineStr">
        <is>
          <t>AUT</t>
        </is>
      </c>
      <c r="G10" t="inlineStr">
        <is>
          <t>Austria</t>
        </is>
      </c>
      <c r="H10" t="n">
        <v>1741700000</v>
      </c>
      <c r="I10" t="n">
        <v>169800000</v>
      </c>
      <c r="J10" t="n">
        <v>74600000</v>
      </c>
      <c r="K10" t="n">
        <v>2920</v>
      </c>
      <c r="L10" t="n">
        <v>218300000</v>
      </c>
      <c r="M10" t="n">
        <v>49500000</v>
      </c>
      <c r="N10" t="inlineStr"/>
      <c r="O10" t="inlineStr"/>
      <c r="P10" t="inlineStr">
        <is>
          <t>EUR</t>
        </is>
      </c>
      <c r="Q10" t="n">
        <v>0.4393404004711425</v>
      </c>
      <c r="R10" t="n">
        <v>18.95013183184152</v>
      </c>
      <c r="S10" t="n">
        <v>0.1930199874861439</v>
      </c>
      <c r="T10" t="n">
        <v>7.979338895262328</v>
      </c>
      <c r="U10" t="n">
        <v>19.20138082152017</v>
      </c>
    </row>
    <row r="11">
      <c r="A11" t="inlineStr">
        <is>
          <t>ALLIANZ</t>
        </is>
      </c>
      <c r="B11" t="n">
        <v>2021</v>
      </c>
      <c r="C11" t="inlineStr">
        <is>
          <t>Business and Financial Services</t>
        </is>
      </c>
      <c r="D11" t="inlineStr">
        <is>
          <t>DEU</t>
        </is>
      </c>
      <c r="E11" t="inlineStr">
        <is>
          <t>Germany</t>
        </is>
      </c>
      <c r="F11" t="inlineStr">
        <is>
          <t>LUX</t>
        </is>
      </c>
      <c r="G11" t="inlineStr">
        <is>
          <t>Luxembourg</t>
        </is>
      </c>
      <c r="H11" t="n">
        <v>1614400000</v>
      </c>
      <c r="I11" t="n">
        <v>975200000</v>
      </c>
      <c r="J11" t="n">
        <v>96300000</v>
      </c>
      <c r="K11" t="n">
        <v>89</v>
      </c>
      <c r="L11" t="n">
        <v>5789900000</v>
      </c>
      <c r="M11" t="n">
        <v>146100000</v>
      </c>
      <c r="N11" t="inlineStr"/>
      <c r="O11" t="inlineStr"/>
      <c r="P11" t="inlineStr">
        <is>
          <t>EUR</t>
        </is>
      </c>
      <c r="Q11" t="n">
        <v>0.09874897456931911</v>
      </c>
      <c r="R11" t="n">
        <v>20.69815313613134</v>
      </c>
      <c r="S11" t="n">
        <v>0.009751359978492032</v>
      </c>
      <c r="T11" t="n">
        <v>4.48863636973214</v>
      </c>
      <c r="U11" t="n">
        <v>22.479380857225</v>
      </c>
    </row>
    <row r="12">
      <c r="A12" t="inlineStr">
        <is>
          <t>ALLIANZ</t>
        </is>
      </c>
      <c r="B12" t="n">
        <v>2021</v>
      </c>
      <c r="C12" t="inlineStr">
        <is>
          <t>Business and Financial Services</t>
        </is>
      </c>
      <c r="D12" t="inlineStr">
        <is>
          <t>DEU</t>
        </is>
      </c>
      <c r="E12" t="inlineStr">
        <is>
          <t>Germany</t>
        </is>
      </c>
      <c r="F12" t="inlineStr">
        <is>
          <t>CHN</t>
        </is>
      </c>
      <c r="G12" t="inlineStr">
        <is>
          <t>China</t>
        </is>
      </c>
      <c r="H12" t="n">
        <v>1329400000</v>
      </c>
      <c r="I12" t="n">
        <v>33300000</v>
      </c>
      <c r="J12" t="n">
        <v>3100000</v>
      </c>
      <c r="K12" t="n">
        <v>1575</v>
      </c>
      <c r="L12" t="n">
        <v>6400000</v>
      </c>
      <c r="M12" t="n">
        <v>12000000</v>
      </c>
      <c r="N12" t="inlineStr"/>
      <c r="O12" t="inlineStr"/>
      <c r="P12" t="inlineStr">
        <is>
          <t>EUR</t>
        </is>
      </c>
      <c r="Q12" t="n">
        <v>0.09309309309309309</v>
      </c>
      <c r="R12" t="n">
        <v>17.32106795495067</v>
      </c>
      <c r="S12" t="n">
        <v>0.008666323981639296</v>
      </c>
      <c r="T12" t="n">
        <v>7.362010551259734</v>
      </c>
      <c r="U12" t="n">
        <v>15.6718085483299</v>
      </c>
    </row>
    <row r="13">
      <c r="A13" t="inlineStr">
        <is>
          <t>ALLIANZ</t>
        </is>
      </c>
      <c r="B13" t="n">
        <v>2021</v>
      </c>
      <c r="C13" t="inlineStr">
        <is>
          <t>Business and Financial Services</t>
        </is>
      </c>
      <c r="D13" t="inlineStr">
        <is>
          <t>DEU</t>
        </is>
      </c>
      <c r="E13" t="inlineStr">
        <is>
          <t>Germany</t>
        </is>
      </c>
      <c r="F13" t="inlineStr">
        <is>
          <t>THA</t>
        </is>
      </c>
      <c r="G13" t="inlineStr">
        <is>
          <t>Thailand</t>
        </is>
      </c>
      <c r="H13" t="n">
        <v>1201300000</v>
      </c>
      <c r="I13" t="n">
        <v>161800000</v>
      </c>
      <c r="J13" t="n">
        <v>32100000</v>
      </c>
      <c r="K13" t="n">
        <v>2389</v>
      </c>
      <c r="L13" t="n">
        <v>19200000</v>
      </c>
      <c r="M13" t="n">
        <v>28300000</v>
      </c>
      <c r="N13" t="inlineStr"/>
      <c r="O13" t="inlineStr"/>
      <c r="P13" t="inlineStr">
        <is>
          <t>EUR</t>
        </is>
      </c>
      <c r="Q13" t="n">
        <v>0.1983930778739184</v>
      </c>
      <c r="R13" t="n">
        <v>18.90187156258867</v>
      </c>
      <c r="S13" t="n">
        <v>0.03935981334828666</v>
      </c>
      <c r="T13" t="n">
        <v>7.77863014732581</v>
      </c>
      <c r="U13" t="n">
        <v>16.77042083699801</v>
      </c>
    </row>
    <row r="14">
      <c r="A14" t="inlineStr">
        <is>
          <t>ALLIANZ</t>
        </is>
      </c>
      <c r="B14" t="n">
        <v>2021</v>
      </c>
      <c r="C14" t="inlineStr">
        <is>
          <t>Business and Financial Services</t>
        </is>
      </c>
      <c r="D14" t="inlineStr">
        <is>
          <t>DEU</t>
        </is>
      </c>
      <c r="E14" t="inlineStr">
        <is>
          <t>Germany</t>
        </is>
      </c>
      <c r="F14" t="inlineStr">
        <is>
          <t>TUR</t>
        </is>
      </c>
      <c r="G14" t="inlineStr">
        <is>
          <t>Turkey</t>
        </is>
      </c>
      <c r="H14" t="n">
        <v>1168700000</v>
      </c>
      <c r="I14" t="n">
        <v>209400000</v>
      </c>
      <c r="J14" t="n">
        <v>45700000</v>
      </c>
      <c r="K14" t="n">
        <v>2392</v>
      </c>
      <c r="L14" t="n">
        <v>40500000</v>
      </c>
      <c r="M14" t="n">
        <v>48800000</v>
      </c>
      <c r="N14" t="inlineStr"/>
      <c r="O14" t="inlineStr"/>
      <c r="P14" t="inlineStr">
        <is>
          <t>EUR</t>
        </is>
      </c>
      <c r="Q14" t="n">
        <v>0.2182425978987584</v>
      </c>
      <c r="R14" t="n">
        <v>19.15975685640071</v>
      </c>
      <c r="S14" t="n">
        <v>0.04762983153759912</v>
      </c>
      <c r="T14" t="n">
        <v>7.779885115070522</v>
      </c>
      <c r="U14" t="n">
        <v>17.51681253207677</v>
      </c>
    </row>
    <row r="15">
      <c r="A15" t="inlineStr">
        <is>
          <t>ALLIANZ</t>
        </is>
      </c>
      <c r="B15" t="n">
        <v>2021</v>
      </c>
      <c r="C15" t="inlineStr">
        <is>
          <t>Business and Financial Services</t>
        </is>
      </c>
      <c r="D15" t="inlineStr">
        <is>
          <t>DEU</t>
        </is>
      </c>
      <c r="E15" t="inlineStr">
        <is>
          <t>Germany</t>
        </is>
      </c>
      <c r="F15" t="inlineStr">
        <is>
          <t>TWN</t>
        </is>
      </c>
      <c r="G15" t="inlineStr">
        <is>
          <t>Taiwan</t>
        </is>
      </c>
      <c r="H15" t="n">
        <v>948600000</v>
      </c>
      <c r="I15" t="n">
        <v>134300000</v>
      </c>
      <c r="J15" t="n">
        <v>6800000</v>
      </c>
      <c r="K15" t="n">
        <v>801</v>
      </c>
      <c r="L15" t="n">
        <v>13300000</v>
      </c>
      <c r="M15" t="n">
        <v>8500000</v>
      </c>
      <c r="N15" t="inlineStr"/>
      <c r="O15" t="inlineStr"/>
      <c r="P15" t="inlineStr">
        <is>
          <t>EUR</t>
        </is>
      </c>
      <c r="Q15" t="n">
        <v>0.05063291139240506</v>
      </c>
      <c r="R15" t="n">
        <v>18.71558666149346</v>
      </c>
      <c r="S15" t="n">
        <v>0.002563691716071142</v>
      </c>
      <c r="T15" t="n">
        <v>6.68586094706836</v>
      </c>
      <c r="U15" t="n">
        <v>16.40327459319198</v>
      </c>
    </row>
    <row r="16">
      <c r="A16" t="inlineStr">
        <is>
          <t>ALLIANZ</t>
        </is>
      </c>
      <c r="B16" t="n">
        <v>2021</v>
      </c>
      <c r="C16" t="inlineStr">
        <is>
          <t>Business and Financial Services</t>
        </is>
      </c>
      <c r="D16" t="inlineStr">
        <is>
          <t>DEU</t>
        </is>
      </c>
      <c r="E16" t="inlineStr">
        <is>
          <t>Germany</t>
        </is>
      </c>
      <c r="F16" t="inlineStr">
        <is>
          <t>MYS</t>
        </is>
      </c>
      <c r="G16" t="inlineStr">
        <is>
          <t>Malaysia</t>
        </is>
      </c>
      <c r="H16" t="n">
        <v>899000000</v>
      </c>
      <c r="I16" t="n">
        <v>152400000</v>
      </c>
      <c r="J16" t="n">
        <v>33000000</v>
      </c>
      <c r="K16" t="n">
        <v>1902</v>
      </c>
      <c r="L16" t="n">
        <v>15600000</v>
      </c>
      <c r="M16" t="n">
        <v>28600000</v>
      </c>
      <c r="N16" t="inlineStr"/>
      <c r="O16" t="inlineStr"/>
      <c r="P16" t="inlineStr">
        <is>
          <t>EUR</t>
        </is>
      </c>
      <c r="Q16" t="n">
        <v>0.2165354330708661</v>
      </c>
      <c r="R16" t="n">
        <v>18.84201920121682</v>
      </c>
      <c r="S16" t="n">
        <v>0.04688759377518755</v>
      </c>
      <c r="T16" t="n">
        <v>7.550661243105336</v>
      </c>
      <c r="U16" t="n">
        <v>16.56278147221976</v>
      </c>
    </row>
    <row r="17">
      <c r="A17" t="inlineStr">
        <is>
          <t>ALLIANZ</t>
        </is>
      </c>
      <c r="B17" t="n">
        <v>2021</v>
      </c>
      <c r="C17" t="inlineStr">
        <is>
          <t>Business and Financial Services</t>
        </is>
      </c>
      <c r="D17" t="inlineStr">
        <is>
          <t>DEU</t>
        </is>
      </c>
      <c r="E17" t="inlineStr">
        <is>
          <t>Germany</t>
        </is>
      </c>
      <c r="F17" t="inlineStr">
        <is>
          <t>CZE</t>
        </is>
      </c>
      <c r="G17" t="inlineStr">
        <is>
          <t>Czechia</t>
        </is>
      </c>
      <c r="H17" t="n">
        <v>649800000</v>
      </c>
      <c r="I17" t="n">
        <v>83200000</v>
      </c>
      <c r="J17" t="n">
        <v>27200000</v>
      </c>
      <c r="K17" t="n">
        <v>891</v>
      </c>
      <c r="L17" t="n">
        <v>62600000</v>
      </c>
      <c r="M17" t="n">
        <v>28100000</v>
      </c>
      <c r="N17" t="inlineStr"/>
      <c r="O17" t="inlineStr"/>
      <c r="P17" t="inlineStr">
        <is>
          <t>EUR</t>
        </is>
      </c>
      <c r="Q17" t="n">
        <v>0.3269230769230769</v>
      </c>
      <c r="R17" t="n">
        <v>18.23675790579144</v>
      </c>
      <c r="S17" t="n">
        <v>0.1068786982248521</v>
      </c>
      <c r="T17" t="n">
        <v>6.792344427470809</v>
      </c>
      <c r="U17" t="n">
        <v>17.95227583607033</v>
      </c>
    </row>
    <row r="18">
      <c r="A18" t="inlineStr">
        <is>
          <t>ALLIANZ</t>
        </is>
      </c>
      <c r="B18" t="n">
        <v>2021</v>
      </c>
      <c r="C18" t="inlineStr">
        <is>
          <t>Business and Financial Services</t>
        </is>
      </c>
      <c r="D18" t="inlineStr">
        <is>
          <t>DEU</t>
        </is>
      </c>
      <c r="E18" t="inlineStr">
        <is>
          <t>Germany</t>
        </is>
      </c>
      <c r="F18" t="inlineStr">
        <is>
          <t>SVK</t>
        </is>
      </c>
      <c r="G18" t="inlineStr">
        <is>
          <t>Slovakia</t>
        </is>
      </c>
      <c r="H18" t="n">
        <v>612800000</v>
      </c>
      <c r="I18" t="n">
        <v>140900000</v>
      </c>
      <c r="J18" t="n">
        <v>40500000</v>
      </c>
      <c r="K18" t="n">
        <v>1128</v>
      </c>
      <c r="L18" t="n">
        <v>69900000</v>
      </c>
      <c r="M18" t="n">
        <v>35400000</v>
      </c>
      <c r="N18" t="inlineStr"/>
      <c r="O18" t="inlineStr"/>
      <c r="P18" t="inlineStr">
        <is>
          <t>EUR</t>
        </is>
      </c>
      <c r="Q18" t="n">
        <v>0.2874378992193045</v>
      </c>
      <c r="R18" t="n">
        <v>18.76356097686891</v>
      </c>
      <c r="S18" t="n">
        <v>0.08262054590760702</v>
      </c>
      <c r="T18" t="n">
        <v>7.028201432058005</v>
      </c>
      <c r="U18" t="n">
        <v>18.06257620720404</v>
      </c>
    </row>
    <row r="19">
      <c r="A19" t="inlineStr">
        <is>
          <t>ALLIANZ</t>
        </is>
      </c>
      <c r="B19" t="n">
        <v>2021</v>
      </c>
      <c r="C19" t="inlineStr">
        <is>
          <t>Business and Financial Services</t>
        </is>
      </c>
      <c r="D19" t="inlineStr">
        <is>
          <t>DEU</t>
        </is>
      </c>
      <c r="E19" t="inlineStr">
        <is>
          <t>Germany</t>
        </is>
      </c>
      <c r="F19" t="inlineStr">
        <is>
          <t>POL</t>
        </is>
      </c>
      <c r="G19" t="inlineStr">
        <is>
          <t>Poland</t>
        </is>
      </c>
      <c r="H19" t="n">
        <v>591400000</v>
      </c>
      <c r="I19" t="n">
        <v>89500000</v>
      </c>
      <c r="J19" t="n">
        <v>15300000</v>
      </c>
      <c r="K19" t="n">
        <v>5616</v>
      </c>
      <c r="L19" t="n">
        <v>30500000</v>
      </c>
      <c r="M19" t="n">
        <v>16500000</v>
      </c>
      <c r="N19" t="inlineStr"/>
      <c r="O19" t="inlineStr"/>
      <c r="P19" t="inlineStr">
        <is>
          <t>EUR</t>
        </is>
      </c>
      <c r="Q19" t="n">
        <v>0.170949720670391</v>
      </c>
      <c r="R19" t="n">
        <v>18.30974918324508</v>
      </c>
      <c r="S19" t="n">
        <v>0.02922380699728473</v>
      </c>
      <c r="T19" t="n">
        <v>8.633374945705647</v>
      </c>
      <c r="U19" t="n">
        <v>17.23323724157764</v>
      </c>
    </row>
    <row r="20">
      <c r="A20" t="inlineStr">
        <is>
          <t>ALLIANZ</t>
        </is>
      </c>
      <c r="B20" t="n">
        <v>2021</v>
      </c>
      <c r="C20" t="inlineStr">
        <is>
          <t>Business and Financial Services</t>
        </is>
      </c>
      <c r="D20" t="inlineStr">
        <is>
          <t>DEU</t>
        </is>
      </c>
      <c r="E20" t="inlineStr">
        <is>
          <t>Germany</t>
        </is>
      </c>
      <c r="F20" t="inlineStr">
        <is>
          <t>PRT</t>
        </is>
      </c>
      <c r="G20" t="inlineStr">
        <is>
          <t>Portugal</t>
        </is>
      </c>
      <c r="H20" t="n">
        <v>536700000</v>
      </c>
      <c r="I20" t="n">
        <v>54500000</v>
      </c>
      <c r="J20" t="n">
        <v>22300000</v>
      </c>
      <c r="K20" t="n">
        <v>631</v>
      </c>
      <c r="L20" t="n">
        <v>26400000</v>
      </c>
      <c r="M20" t="n">
        <v>14400000</v>
      </c>
      <c r="N20" t="inlineStr"/>
      <c r="O20" t="inlineStr"/>
      <c r="P20" t="inlineStr">
        <is>
          <t>EUR</t>
        </is>
      </c>
      <c r="Q20" t="n">
        <v>0.4091743119266055</v>
      </c>
      <c r="R20" t="n">
        <v>17.81371125963347</v>
      </c>
      <c r="S20" t="n">
        <v>0.1674236175406111</v>
      </c>
      <c r="T20" t="n">
        <v>6.447305862541213</v>
      </c>
      <c r="U20" t="n">
        <v>17.08887456811654</v>
      </c>
    </row>
    <row r="21">
      <c r="A21" t="inlineStr">
        <is>
          <t>ALLIANZ</t>
        </is>
      </c>
      <c r="B21" t="n">
        <v>2021</v>
      </c>
      <c r="C21" t="inlineStr">
        <is>
          <t>Business and Financial Services</t>
        </is>
      </c>
      <c r="D21" t="inlineStr">
        <is>
          <t>DEU</t>
        </is>
      </c>
      <c r="E21" t="inlineStr">
        <is>
          <t>Germany</t>
        </is>
      </c>
      <c r="F21" t="inlineStr">
        <is>
          <t>MEX</t>
        </is>
      </c>
      <c r="G21" t="inlineStr">
        <is>
          <t>Mexico</t>
        </is>
      </c>
      <c r="H21" t="n">
        <v>455100000</v>
      </c>
      <c r="I21" t="n">
        <v>54700000</v>
      </c>
      <c r="J21" t="n">
        <v>14800000</v>
      </c>
      <c r="K21" t="n">
        <v>473</v>
      </c>
      <c r="L21" t="n">
        <v>4600000</v>
      </c>
      <c r="M21" t="n">
        <v>13900000</v>
      </c>
      <c r="N21" t="inlineStr"/>
      <c r="O21" t="inlineStr"/>
      <c r="P21" t="inlineStr">
        <is>
          <t>EUR</t>
        </is>
      </c>
      <c r="Q21" t="n">
        <v>0.2705667276051189</v>
      </c>
      <c r="R21" t="n">
        <v>17.81737426739221</v>
      </c>
      <c r="S21" t="n">
        <v>0.07320635408694258</v>
      </c>
      <c r="T21" t="n">
        <v>6.159095388491933</v>
      </c>
      <c r="U21" t="n">
        <v>15.34156686145932</v>
      </c>
    </row>
    <row r="22">
      <c r="A22" t="inlineStr">
        <is>
          <t>ALLIANZ</t>
        </is>
      </c>
      <c r="B22" t="n">
        <v>2021</v>
      </c>
      <c r="C22" t="inlineStr">
        <is>
          <t>Business and Financial Services</t>
        </is>
      </c>
      <c r="D22" t="inlineStr">
        <is>
          <t>DEU</t>
        </is>
      </c>
      <c r="E22" t="inlineStr">
        <is>
          <t>Germany</t>
        </is>
      </c>
      <c r="F22" t="inlineStr">
        <is>
          <t>IDN</t>
        </is>
      </c>
      <c r="G22" t="inlineStr">
        <is>
          <t>Indonesia</t>
        </is>
      </c>
      <c r="H22" t="n">
        <v>444100000</v>
      </c>
      <c r="I22" t="n">
        <v>80400000</v>
      </c>
      <c r="J22" t="n">
        <v>21500000</v>
      </c>
      <c r="K22" t="n">
        <v>1269</v>
      </c>
      <c r="L22" t="n">
        <v>14100000</v>
      </c>
      <c r="M22" t="n">
        <v>12400000</v>
      </c>
      <c r="N22" t="inlineStr"/>
      <c r="O22" t="inlineStr"/>
      <c r="P22" t="inlineStr">
        <is>
          <t>EUR</t>
        </is>
      </c>
      <c r="Q22" t="n">
        <v>0.2674129353233831</v>
      </c>
      <c r="R22" t="n">
        <v>18.20252473414919</v>
      </c>
      <c r="S22" t="n">
        <v>0.07150967797826785</v>
      </c>
      <c r="T22" t="n">
        <v>7.145984467714388</v>
      </c>
      <c r="U22" t="n">
        <v>16.4616853553484</v>
      </c>
    </row>
    <row r="23">
      <c r="A23" t="inlineStr">
        <is>
          <t>ALLIANZ</t>
        </is>
      </c>
      <c r="B23" t="n">
        <v>2021</v>
      </c>
      <c r="C23" t="inlineStr">
        <is>
          <t>Business and Financial Services</t>
        </is>
      </c>
      <c r="D23" t="inlineStr">
        <is>
          <t>DEU</t>
        </is>
      </c>
      <c r="E23" t="inlineStr">
        <is>
          <t>Germany</t>
        </is>
      </c>
      <c r="F23" t="inlineStr">
        <is>
          <t>HUN</t>
        </is>
      </c>
      <c r="G23" t="inlineStr">
        <is>
          <t>Hungary</t>
        </is>
      </c>
      <c r="H23" t="n">
        <v>395300000</v>
      </c>
      <c r="I23" t="n">
        <v>71600000</v>
      </c>
      <c r="J23" t="n">
        <v>10900000</v>
      </c>
      <c r="K23" t="n">
        <v>953</v>
      </c>
      <c r="L23" t="n">
        <v>31300000</v>
      </c>
      <c r="M23" t="n">
        <v>12000000</v>
      </c>
      <c r="N23" t="inlineStr"/>
      <c r="O23" t="inlineStr"/>
      <c r="P23" t="inlineStr">
        <is>
          <t>EUR</t>
        </is>
      </c>
      <c r="Q23" t="n">
        <v>0.1522346368715084</v>
      </c>
      <c r="R23" t="n">
        <v>18.08660563193087</v>
      </c>
      <c r="S23" t="n">
        <v>0.02317538466340002</v>
      </c>
      <c r="T23" t="n">
        <v>6.859614903654202</v>
      </c>
      <c r="U23" t="n">
        <v>17.25912865551038</v>
      </c>
    </row>
    <row r="24">
      <c r="A24" t="inlineStr">
        <is>
          <t>ALLIANZ</t>
        </is>
      </c>
      <c r="B24" t="n">
        <v>2021</v>
      </c>
      <c r="C24" t="inlineStr">
        <is>
          <t>Business and Financial Services</t>
        </is>
      </c>
      <c r="D24" t="inlineStr">
        <is>
          <t>DEU</t>
        </is>
      </c>
      <c r="E24" t="inlineStr">
        <is>
          <t>Germany</t>
        </is>
      </c>
      <c r="F24" t="inlineStr">
        <is>
          <t>ROU</t>
        </is>
      </c>
      <c r="G24" t="inlineStr">
        <is>
          <t>Romania</t>
        </is>
      </c>
      <c r="H24" t="n">
        <v>303300000</v>
      </c>
      <c r="I24" t="n">
        <v>47200000</v>
      </c>
      <c r="J24" t="n">
        <v>6700000</v>
      </c>
      <c r="K24" t="n">
        <v>1205</v>
      </c>
      <c r="L24" t="n">
        <v>16600000</v>
      </c>
      <c r="M24" t="n">
        <v>6800000</v>
      </c>
      <c r="N24" t="inlineStr"/>
      <c r="O24" t="inlineStr"/>
      <c r="P24" t="inlineStr">
        <is>
          <t>EUR</t>
        </is>
      </c>
      <c r="Q24" t="n">
        <v>0.1419491525423729</v>
      </c>
      <c r="R24" t="n">
        <v>17.66990445055578</v>
      </c>
      <c r="S24" t="n">
        <v>0.02014956190749785</v>
      </c>
      <c r="T24" t="n">
        <v>7.094234845924755</v>
      </c>
      <c r="U24" t="n">
        <v>16.62491325332677</v>
      </c>
    </row>
    <row r="25">
      <c r="A25" t="inlineStr">
        <is>
          <t>ALLIANZ</t>
        </is>
      </c>
      <c r="B25" t="n">
        <v>2021</v>
      </c>
      <c r="C25" t="inlineStr">
        <is>
          <t>Business and Financial Services</t>
        </is>
      </c>
      <c r="D25" t="inlineStr">
        <is>
          <t>DEU</t>
        </is>
      </c>
      <c r="E25" t="inlineStr">
        <is>
          <t>Germany</t>
        </is>
      </c>
      <c r="F25" t="inlineStr">
        <is>
          <t>COL</t>
        </is>
      </c>
      <c r="G25" t="inlineStr">
        <is>
          <t>Colombia</t>
        </is>
      </c>
      <c r="H25" t="n">
        <v>293800000</v>
      </c>
      <c r="I25" t="n">
        <v>10400000</v>
      </c>
      <c r="J25" t="n">
        <v>2600000</v>
      </c>
      <c r="K25" t="n">
        <v>896</v>
      </c>
      <c r="L25" t="n">
        <v>5800000</v>
      </c>
      <c r="M25" t="n">
        <v>500000</v>
      </c>
      <c r="N25" t="inlineStr"/>
      <c r="O25" t="inlineStr"/>
      <c r="P25" t="inlineStr">
        <is>
          <t>EUR</t>
        </is>
      </c>
      <c r="Q25" t="n">
        <v>0.25</v>
      </c>
      <c r="R25" t="n">
        <v>16.1573163641116</v>
      </c>
      <c r="S25" t="n">
        <v>0.0625</v>
      </c>
      <c r="T25" t="n">
        <v>6.79794041297493</v>
      </c>
      <c r="U25" t="n">
        <v>15.57336847551665</v>
      </c>
    </row>
    <row r="26">
      <c r="A26" t="inlineStr">
        <is>
          <t>ALLIANZ</t>
        </is>
      </c>
      <c r="B26" t="n">
        <v>2021</v>
      </c>
      <c r="C26" t="inlineStr">
        <is>
          <t>Business and Financial Services</t>
        </is>
      </c>
      <c r="D26" t="inlineStr">
        <is>
          <t>DEU</t>
        </is>
      </c>
      <c r="E26" t="inlineStr">
        <is>
          <t>Germany</t>
        </is>
      </c>
      <c r="F26" t="inlineStr">
        <is>
          <t>EGY</t>
        </is>
      </c>
      <c r="G26" t="inlineStr">
        <is>
          <t>Egypt</t>
        </is>
      </c>
      <c r="H26" t="n">
        <v>258100000</v>
      </c>
      <c r="I26" t="n">
        <v>57900000</v>
      </c>
      <c r="J26" t="n">
        <v>12400000</v>
      </c>
      <c r="K26" t="n">
        <v>1488</v>
      </c>
      <c r="L26" t="n">
        <v>23300000</v>
      </c>
      <c r="M26" t="n">
        <v>12400000</v>
      </c>
      <c r="N26" t="inlineStr"/>
      <c r="O26" t="inlineStr"/>
      <c r="P26" t="inlineStr">
        <is>
          <t>EUR</t>
        </is>
      </c>
      <c r="Q26" t="n">
        <v>0.2141623488773748</v>
      </c>
      <c r="R26" t="n">
        <v>17.87422794254323</v>
      </c>
      <c r="S26" t="n">
        <v>0.04586551167667439</v>
      </c>
      <c r="T26" t="n">
        <v>7.305188215393037</v>
      </c>
      <c r="U26" t="n">
        <v>16.96396391853593</v>
      </c>
    </row>
    <row r="27">
      <c r="A27" t="inlineStr">
        <is>
          <t>ALLIANZ</t>
        </is>
      </c>
      <c r="B27" t="n">
        <v>2021</v>
      </c>
      <c r="C27" t="inlineStr">
        <is>
          <t>Business and Financial Services</t>
        </is>
      </c>
      <c r="D27" t="inlineStr">
        <is>
          <t>DEU</t>
        </is>
      </c>
      <c r="E27" t="inlineStr">
        <is>
          <t>Germany</t>
        </is>
      </c>
      <c r="F27" t="inlineStr">
        <is>
          <t>LBN</t>
        </is>
      </c>
      <c r="G27" t="inlineStr">
        <is>
          <t>Lebanon</t>
        </is>
      </c>
      <c r="H27" t="n">
        <v>257600000</v>
      </c>
      <c r="I27" t="n">
        <v>178900000</v>
      </c>
      <c r="J27" t="n">
        <v>2500000</v>
      </c>
      <c r="K27" t="n">
        <v>199</v>
      </c>
      <c r="L27" t="n">
        <v>29900000</v>
      </c>
      <c r="M27" t="n">
        <v>2900000</v>
      </c>
      <c r="N27" t="inlineStr"/>
      <c r="O27" t="inlineStr"/>
      <c r="P27" t="inlineStr">
        <is>
          <t>EUR</t>
        </is>
      </c>
      <c r="Q27" t="n">
        <v>0.01397428731134712</v>
      </c>
      <c r="R27" t="n">
        <v>19.00233754847895</v>
      </c>
      <c r="S27" t="n">
        <v>0.0001952807058600772</v>
      </c>
      <c r="T27" t="n">
        <v>5.293304824724492</v>
      </c>
      <c r="U27" t="n">
        <v>17.21336903836092</v>
      </c>
    </row>
    <row r="28">
      <c r="A28" t="inlineStr">
        <is>
          <t>ALLIANZ</t>
        </is>
      </c>
      <c r="B28" t="n">
        <v>2021</v>
      </c>
      <c r="C28" t="inlineStr">
        <is>
          <t>Business and Financial Services</t>
        </is>
      </c>
      <c r="D28" t="inlineStr">
        <is>
          <t>DEU</t>
        </is>
      </c>
      <c r="E28" t="inlineStr">
        <is>
          <t>Germany</t>
        </is>
      </c>
      <c r="F28" t="inlineStr">
        <is>
          <t>RUS</t>
        </is>
      </c>
      <c r="G28" t="inlineStr">
        <is>
          <t>Russia</t>
        </is>
      </c>
      <c r="H28" t="n">
        <v>241700000</v>
      </c>
      <c r="I28" t="n">
        <v>31800000</v>
      </c>
      <c r="J28" t="n">
        <v>5100000</v>
      </c>
      <c r="K28" t="n">
        <v>1189</v>
      </c>
      <c r="L28" t="n">
        <v>14200000</v>
      </c>
      <c r="M28" t="n">
        <v>6100000</v>
      </c>
      <c r="N28" t="inlineStr"/>
      <c r="O28" t="inlineStr"/>
      <c r="P28" t="inlineStr">
        <is>
          <t>EUR</t>
        </is>
      </c>
      <c r="Q28" t="n">
        <v>0.160377358490566</v>
      </c>
      <c r="R28" t="n">
        <v>17.27497684775041</v>
      </c>
      <c r="S28" t="n">
        <v>0.02572089711641153</v>
      </c>
      <c r="T28" t="n">
        <v>7.080867896690782</v>
      </c>
      <c r="U28" t="n">
        <v>16.46875252257149</v>
      </c>
    </row>
    <row r="29">
      <c r="A29" t="inlineStr">
        <is>
          <t>ALLIANZ</t>
        </is>
      </c>
      <c r="B29" t="n">
        <v>2021</v>
      </c>
      <c r="C29" t="inlineStr">
        <is>
          <t>Business and Financial Services</t>
        </is>
      </c>
      <c r="D29" t="inlineStr">
        <is>
          <t>DEU</t>
        </is>
      </c>
      <c r="E29" t="inlineStr">
        <is>
          <t>Germany</t>
        </is>
      </c>
      <c r="F29" t="inlineStr">
        <is>
          <t>BGR</t>
        </is>
      </c>
      <c r="G29" t="inlineStr">
        <is>
          <t>Bulgaria</t>
        </is>
      </c>
      <c r="H29" t="n">
        <v>191400000</v>
      </c>
      <c r="I29" t="n">
        <v>43800000</v>
      </c>
      <c r="J29" t="n">
        <v>4500000</v>
      </c>
      <c r="K29" t="n">
        <v>923</v>
      </c>
      <c r="L29" t="n">
        <v>20700000</v>
      </c>
      <c r="M29" t="n">
        <v>4800000</v>
      </c>
      <c r="N29" t="inlineStr"/>
      <c r="O29" t="inlineStr"/>
      <c r="P29" t="inlineStr">
        <is>
          <t>EUR</t>
        </is>
      </c>
      <c r="Q29" t="n">
        <v>0.1027397260273973</v>
      </c>
      <c r="R29" t="n">
        <v>17.59514437534667</v>
      </c>
      <c r="S29" t="n">
        <v>0.01055545130418465</v>
      </c>
      <c r="T29" t="n">
        <v>6.827629234502852</v>
      </c>
      <c r="U29" t="n">
        <v>16.8456442582356</v>
      </c>
    </row>
    <row r="30">
      <c r="A30" t="inlineStr">
        <is>
          <t>ALLIANZ</t>
        </is>
      </c>
      <c r="B30" t="n">
        <v>2021</v>
      </c>
      <c r="C30" t="inlineStr">
        <is>
          <t>Business and Financial Services</t>
        </is>
      </c>
      <c r="D30" t="inlineStr">
        <is>
          <t>DEU</t>
        </is>
      </c>
      <c r="E30" t="inlineStr">
        <is>
          <t>Germany</t>
        </is>
      </c>
      <c r="F30" t="inlineStr">
        <is>
          <t>HRV</t>
        </is>
      </c>
      <c r="G30" t="inlineStr">
        <is>
          <t>Croatia</t>
        </is>
      </c>
      <c r="H30" t="n">
        <v>159900000</v>
      </c>
      <c r="I30" t="n">
        <v>23000000</v>
      </c>
      <c r="J30" t="n">
        <v>3300000</v>
      </c>
      <c r="K30" t="n">
        <v>414</v>
      </c>
      <c r="L30" t="n">
        <v>7100000</v>
      </c>
      <c r="M30" t="n">
        <v>4600000</v>
      </c>
      <c r="N30" t="inlineStr"/>
      <c r="O30" t="inlineStr"/>
      <c r="P30" t="inlineStr">
        <is>
          <t>EUR</t>
        </is>
      </c>
      <c r="Q30" t="n">
        <v>0.1434782608695652</v>
      </c>
      <c r="R30" t="n">
        <v>16.95100477389342</v>
      </c>
      <c r="S30" t="n">
        <v>0.02058601134215501</v>
      </c>
      <c r="T30" t="n">
        <v>6.025865973825314</v>
      </c>
      <c r="U30" t="n">
        <v>15.77560534201154</v>
      </c>
    </row>
    <row r="31">
      <c r="A31" t="inlineStr">
        <is>
          <t>ALLIANZ</t>
        </is>
      </c>
      <c r="B31" t="n">
        <v>2021</v>
      </c>
      <c r="C31" t="inlineStr">
        <is>
          <t>Business and Financial Services</t>
        </is>
      </c>
      <c r="D31" t="inlineStr">
        <is>
          <t>DEU</t>
        </is>
      </c>
      <c r="E31" t="inlineStr">
        <is>
          <t>Germany</t>
        </is>
      </c>
      <c r="F31" t="inlineStr">
        <is>
          <t>MAR</t>
        </is>
      </c>
      <c r="G31" t="inlineStr">
        <is>
          <t>Morocco</t>
        </is>
      </c>
      <c r="H31" t="n">
        <v>131500000</v>
      </c>
      <c r="I31" t="n">
        <v>13000000</v>
      </c>
      <c r="J31" t="n">
        <v>400000</v>
      </c>
      <c r="K31" t="n">
        <v>399</v>
      </c>
      <c r="L31" t="n">
        <v>23200000</v>
      </c>
      <c r="M31" t="n">
        <v>900000</v>
      </c>
      <c r="N31" t="inlineStr"/>
      <c r="O31" t="inlineStr"/>
      <c r="P31" t="inlineStr">
        <is>
          <t>EUR</t>
        </is>
      </c>
      <c r="Q31" t="n">
        <v>0.03076923076923077</v>
      </c>
      <c r="R31" t="n">
        <v>16.38045991542581</v>
      </c>
      <c r="S31" t="n">
        <v>0.0009467455621301776</v>
      </c>
      <c r="T31" t="n">
        <v>5.988961416889864</v>
      </c>
      <c r="U31" t="n">
        <v>16.95966283663654</v>
      </c>
    </row>
    <row r="32">
      <c r="A32" t="inlineStr">
        <is>
          <t>ALLIANZ</t>
        </is>
      </c>
      <c r="B32" t="n">
        <v>2021</v>
      </c>
      <c r="C32" t="inlineStr">
        <is>
          <t>Business and Financial Services</t>
        </is>
      </c>
      <c r="D32" t="inlineStr">
        <is>
          <t>DEU</t>
        </is>
      </c>
      <c r="E32" t="inlineStr">
        <is>
          <t>Germany</t>
        </is>
      </c>
      <c r="F32" t="inlineStr">
        <is>
          <t>JPN</t>
        </is>
      </c>
      <c r="G32" t="inlineStr">
        <is>
          <t>Japan</t>
        </is>
      </c>
      <c r="H32" t="n">
        <v>72000000</v>
      </c>
      <c r="I32" t="n">
        <v>13000000</v>
      </c>
      <c r="J32" t="n">
        <v>2000000</v>
      </c>
      <c r="K32" t="n">
        <v>256</v>
      </c>
      <c r="L32" t="n">
        <v>900000</v>
      </c>
      <c r="M32" t="n">
        <v>6500000</v>
      </c>
      <c r="N32" t="inlineStr"/>
      <c r="O32" t="inlineStr"/>
      <c r="P32" t="inlineStr">
        <is>
          <t>EUR</t>
        </is>
      </c>
      <c r="Q32" t="n">
        <v>0.1538461538461539</v>
      </c>
      <c r="R32" t="n">
        <v>16.38045991542581</v>
      </c>
      <c r="S32" t="n">
        <v>0.02366863905325444</v>
      </c>
      <c r="T32" t="n">
        <v>5.545177444479562</v>
      </c>
      <c r="U32" t="n">
        <v>13.71015004230645</v>
      </c>
    </row>
    <row r="33">
      <c r="A33" t="inlineStr">
        <is>
          <t>ALLIANZ</t>
        </is>
      </c>
      <c r="B33" t="n">
        <v>2021</v>
      </c>
      <c r="C33" t="inlineStr">
        <is>
          <t>Business and Financial Services</t>
        </is>
      </c>
      <c r="D33" t="inlineStr">
        <is>
          <t>DEU</t>
        </is>
      </c>
      <c r="E33" t="inlineStr">
        <is>
          <t>Germany</t>
        </is>
      </c>
      <c r="F33" t="inlineStr">
        <is>
          <t>BHR</t>
        </is>
      </c>
      <c r="G33" t="inlineStr">
        <is>
          <t>Bahrain</t>
        </is>
      </c>
      <c r="H33" t="n">
        <v>71600000</v>
      </c>
      <c r="I33" t="n">
        <v>6600000</v>
      </c>
      <c r="J33" t="n">
        <v>2400000</v>
      </c>
      <c r="K33" t="n">
        <v>1553</v>
      </c>
      <c r="L33" t="n">
        <v>2700000</v>
      </c>
      <c r="M33" t="n">
        <v>2000000</v>
      </c>
      <c r="N33" t="inlineStr"/>
      <c r="O33" t="inlineStr"/>
      <c r="P33" t="inlineStr">
        <is>
          <t>EUR</t>
        </is>
      </c>
      <c r="Q33" t="n">
        <v>0.3636363636363636</v>
      </c>
      <c r="R33" t="n">
        <v>15.70258020699665</v>
      </c>
      <c r="S33" t="n">
        <v>0.1322314049586777</v>
      </c>
      <c r="T33" t="n">
        <v>7.347943823148687</v>
      </c>
      <c r="U33" t="n">
        <v>14.80876233097456</v>
      </c>
    </row>
    <row r="34">
      <c r="A34" t="inlineStr">
        <is>
          <t>ALLIANZ</t>
        </is>
      </c>
      <c r="B34" t="n">
        <v>2021</v>
      </c>
      <c r="C34" t="inlineStr">
        <is>
          <t>Business and Financial Services</t>
        </is>
      </c>
      <c r="D34" t="inlineStr">
        <is>
          <t>DEU</t>
        </is>
      </c>
      <c r="E34" t="inlineStr">
        <is>
          <t>Germany</t>
        </is>
      </c>
      <c r="F34" t="inlineStr">
        <is>
          <t>CIV</t>
        </is>
      </c>
      <c r="G34" t="inlineStr">
        <is>
          <t>Côte d'Ivoire</t>
        </is>
      </c>
      <c r="H34" t="n">
        <v>70500000</v>
      </c>
      <c r="I34" t="n">
        <v>13000000</v>
      </c>
      <c r="J34" t="n">
        <v>3800000</v>
      </c>
      <c r="K34" t="n">
        <v>215</v>
      </c>
      <c r="L34" t="n">
        <v>6700000</v>
      </c>
      <c r="M34" t="n">
        <v>2200000</v>
      </c>
      <c r="N34" t="inlineStr"/>
      <c r="O34" t="inlineStr"/>
      <c r="P34" t="inlineStr">
        <is>
          <t>EUR</t>
        </is>
      </c>
      <c r="Q34" t="n">
        <v>0.2923076923076923</v>
      </c>
      <c r="R34" t="n">
        <v>16.38045991542581</v>
      </c>
      <c r="S34" t="n">
        <v>0.08544378698224853</v>
      </c>
      <c r="T34" t="n">
        <v>5.370638028127662</v>
      </c>
      <c r="U34" t="n">
        <v>15.7176180843612</v>
      </c>
    </row>
    <row r="35">
      <c r="A35" t="inlineStr">
        <is>
          <t>ALLIANZ</t>
        </is>
      </c>
      <c r="B35" t="n">
        <v>2021</v>
      </c>
      <c r="C35" t="inlineStr">
        <is>
          <t>Business and Financial Services</t>
        </is>
      </c>
      <c r="D35" t="inlineStr">
        <is>
          <t>DEU</t>
        </is>
      </c>
      <c r="E35" t="inlineStr">
        <is>
          <t>Germany</t>
        </is>
      </c>
      <c r="F35" t="inlineStr">
        <is>
          <t>IND</t>
        </is>
      </c>
      <c r="G35" t="inlineStr">
        <is>
          <t>India</t>
        </is>
      </c>
      <c r="H35" t="n">
        <v>46800000</v>
      </c>
      <c r="I35" t="n">
        <v>10100000</v>
      </c>
      <c r="J35" t="n">
        <v>2100000</v>
      </c>
      <c r="K35" t="n">
        <v>3058</v>
      </c>
      <c r="L35" t="n">
        <v>2400000</v>
      </c>
      <c r="M35" t="n">
        <v>1400000</v>
      </c>
      <c r="N35" t="inlineStr"/>
      <c r="O35" t="inlineStr"/>
      <c r="P35" t="inlineStr">
        <is>
          <t>EUR</t>
        </is>
      </c>
      <c r="Q35" t="n">
        <v>0.2079207920792079</v>
      </c>
      <c r="R35" t="n">
        <v>16.12804598181149</v>
      </c>
      <c r="S35" t="n">
        <v>0.04323105577884521</v>
      </c>
      <c r="T35" t="n">
        <v>8.025516386489008</v>
      </c>
      <c r="U35" t="n">
        <v>14.69097929531817</v>
      </c>
    </row>
    <row r="36">
      <c r="A36" t="inlineStr">
        <is>
          <t>ALLIANZ</t>
        </is>
      </c>
      <c r="B36" t="n">
        <v>2021</v>
      </c>
      <c r="C36" t="inlineStr">
        <is>
          <t>Business and Financial Services</t>
        </is>
      </c>
      <c r="D36" t="inlineStr">
        <is>
          <t>DEU</t>
        </is>
      </c>
      <c r="E36" t="inlineStr">
        <is>
          <t>Germany</t>
        </is>
      </c>
      <c r="F36" t="inlineStr">
        <is>
          <t>BMU</t>
        </is>
      </c>
      <c r="G36" t="inlineStr">
        <is>
          <t>Bermuda</t>
        </is>
      </c>
      <c r="H36" t="n">
        <v>37000000</v>
      </c>
      <c r="I36" t="n">
        <v>20700000</v>
      </c>
      <c r="J36" t="n">
        <v>2200000</v>
      </c>
      <c r="K36" t="n">
        <v>20</v>
      </c>
      <c r="L36" t="n">
        <v>100000</v>
      </c>
      <c r="M36" t="n">
        <v>3300000</v>
      </c>
      <c r="N36" t="inlineStr"/>
      <c r="O36" t="inlineStr"/>
      <c r="P36" t="inlineStr">
        <is>
          <t>EUR</t>
        </is>
      </c>
      <c r="Q36" t="n">
        <v>0.106280193236715</v>
      </c>
      <c r="R36" t="n">
        <v>16.8456442582356</v>
      </c>
      <c r="S36" t="n">
        <v>0.01129547947443348</v>
      </c>
      <c r="T36" t="n">
        <v>2.995732273553991</v>
      </c>
      <c r="U36" t="n">
        <v>11.51292546497023</v>
      </c>
    </row>
    <row r="37">
      <c r="A37" t="inlineStr">
        <is>
          <t>ALLIANZ</t>
        </is>
      </c>
      <c r="B37" t="n">
        <v>2021</v>
      </c>
      <c r="C37" t="inlineStr">
        <is>
          <t>Business and Financial Services</t>
        </is>
      </c>
      <c r="D37" t="inlineStr">
        <is>
          <t>DEU</t>
        </is>
      </c>
      <c r="E37" t="inlineStr">
        <is>
          <t>Germany</t>
        </is>
      </c>
      <c r="F37" t="inlineStr">
        <is>
          <t>OTHER</t>
        </is>
      </c>
      <c r="G37" t="inlineStr">
        <is>
          <t>Other</t>
        </is>
      </c>
      <c r="H37" t="n">
        <v>294100000</v>
      </c>
      <c r="I37" t="n">
        <v>12800000</v>
      </c>
      <c r="J37" t="n">
        <v>6300000</v>
      </c>
      <c r="K37" t="n">
        <v>4802</v>
      </c>
      <c r="L37" t="n">
        <v>98000000</v>
      </c>
      <c r="M37" t="n">
        <v>7700000</v>
      </c>
      <c r="N37" t="inlineStr"/>
      <c r="O37" t="inlineStr"/>
      <c r="P37" t="inlineStr">
        <is>
          <t>EUR</t>
        </is>
      </c>
      <c r="Q37" t="n">
        <v>0.4921875</v>
      </c>
      <c r="R37" t="n">
        <v>16.36495572888985</v>
      </c>
      <c r="S37" t="n">
        <v>0.24224853515625</v>
      </c>
      <c r="T37" t="n">
        <v>8.476787776781199</v>
      </c>
      <c r="U37" t="n">
        <v>18.40047803663485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Accrued Analysis ***</t>
        </is>
      </c>
    </row>
    <row r="2">
      <c r="A2" t="inlineStr"/>
    </row>
    <row r="3">
      <c r="A3">
        <f>=============================</f>
        <v/>
      </c>
    </row>
    <row r="4">
      <c r="A4" t="inlineStr">
        <is>
          <t>Accrued M1</t>
        </is>
      </c>
    </row>
    <row r="5">
      <c r="A5">
        <f>=============================</f>
        <v/>
      </c>
    </row>
    <row r="6">
      <c r="A6" t="inlineStr">
        <is>
          <t xml:space="preserve">                            OLS Regression Results                            </t>
        </is>
      </c>
    </row>
    <row r="7">
      <c r="A7">
        <f>=============================================================================</f>
        <v/>
      </c>
    </row>
    <row r="8">
      <c r="A8" t="inlineStr">
        <is>
          <t>Dep. Variable:             ln_profits   R-squared:                       0.032</t>
        </is>
      </c>
    </row>
    <row r="9">
      <c r="A9" t="inlineStr">
        <is>
          <t>Model:                            OLS   Adj. R-squared:                  0.005</t>
        </is>
      </c>
    </row>
    <row r="10">
      <c r="A10" t="inlineStr">
        <is>
          <t>Method:                 Least Squares   F-statistic:                     1.200</t>
        </is>
      </c>
    </row>
    <row r="11">
      <c r="A11" t="inlineStr">
        <is>
          <t>Date:                Wed, 10 Dec 2025   Prob (F-statistic):              0.281</t>
        </is>
      </c>
    </row>
    <row r="12">
      <c r="A12" t="inlineStr">
        <is>
          <t>Time:                        16:12:01   Log-Likelihood:                -65.955</t>
        </is>
      </c>
    </row>
    <row r="13">
      <c r="A13" t="inlineStr">
        <is>
          <t>No. Observations:                  38   AIC:                             135.9</t>
        </is>
      </c>
    </row>
    <row r="14">
      <c r="A14" t="inlineStr">
        <is>
          <t>Df Residuals:                      36   BIC:                             139.2</t>
        </is>
      </c>
    </row>
    <row r="15">
      <c r="A15" t="inlineStr">
        <is>
          <t xml:space="preserve">Df Model:                           1                                         </t>
        </is>
      </c>
    </row>
    <row r="16">
      <c r="A16" t="inlineStr">
        <is>
          <t xml:space="preserve">Covariance Type:            nonrobust                                         </t>
        </is>
      </c>
    </row>
    <row r="17">
      <c r="A17">
        <f>=============================================================================</f>
        <v/>
      </c>
    </row>
    <row r="18">
      <c r="A18" t="inlineStr">
        <is>
          <t xml:space="preserve">                 coef    std err          t      P&gt;|t|      [0.025      0.975]</t>
        </is>
      </c>
    </row>
    <row r="19">
      <c r="A19" t="inlineStr">
        <is>
          <t>------------------------------------------------------------------------------</t>
        </is>
      </c>
    </row>
    <row r="20">
      <c r="A20" t="inlineStr">
        <is>
          <t>Intercept     17.7490      0.571     31.074      0.000      16.591      18.907</t>
        </is>
      </c>
    </row>
    <row r="21">
      <c r="A21" t="inlineStr">
        <is>
          <t>ETR            3.1266      2.855      1.095      0.281      -2.663       8.916</t>
        </is>
      </c>
    </row>
    <row r="22">
      <c r="A22">
        <f>=============================================================================</f>
        <v/>
      </c>
    </row>
    <row r="23">
      <c r="A23" t="inlineStr">
        <is>
          <t>Omnibus:                        0.383   Durbin-Watson:                   0.867</t>
        </is>
      </c>
    </row>
    <row r="24">
      <c r="A24" t="inlineStr">
        <is>
          <t>Prob(Omnibus):                  0.826   Jarque-Bera (JB):                0.540</t>
        </is>
      </c>
    </row>
    <row r="25">
      <c r="A25" t="inlineStr">
        <is>
          <t>Skew:                           0.064   Prob(JB):                        0.763</t>
        </is>
      </c>
    </row>
    <row r="26">
      <c r="A26" t="inlineStr">
        <is>
          <t>Kurtosis:                       2.430   Cond. No.                         12.9</t>
        </is>
      </c>
    </row>
    <row r="27">
      <c r="A27">
        <f>=============================================================================</f>
        <v/>
      </c>
    </row>
    <row r="28">
      <c r="A28" t="inlineStr"/>
    </row>
    <row r="29">
      <c r="A29" t="inlineStr">
        <is>
          <t>Notes:</t>
        </is>
      </c>
    </row>
    <row r="30">
      <c r="A30" t="inlineStr">
        <is>
          <t>[1] Standard Errors assume that the covariance matrix of the errors is correctly specified.</t>
        </is>
      </c>
    </row>
    <row r="31">
      <c r="A31" t="inlineStr"/>
    </row>
    <row r="32">
      <c r="A32">
        <f>=============================</f>
        <v/>
      </c>
    </row>
    <row r="33">
      <c r="A33" t="inlineStr">
        <is>
          <t>Accrued M2</t>
        </is>
      </c>
    </row>
    <row r="34">
      <c r="A34">
        <f>=============================</f>
        <v/>
      </c>
    </row>
    <row r="35">
      <c r="A35" t="inlineStr">
        <is>
          <t xml:space="preserve">                            OLS Regression Results                            </t>
        </is>
      </c>
    </row>
    <row r="36">
      <c r="A36">
        <f>=============================================================================</f>
        <v/>
      </c>
    </row>
    <row r="37">
      <c r="A37" t="inlineStr">
        <is>
          <t>Dep. Variable:             ln_profits   R-squared:                       0.102</t>
        </is>
      </c>
    </row>
    <row r="38">
      <c r="A38" t="inlineStr">
        <is>
          <t>Model:                            OLS   Adj. R-squared:                  0.051</t>
        </is>
      </c>
    </row>
    <row r="39">
      <c r="A39" t="inlineStr">
        <is>
          <t>Method:                 Least Squares   F-statistic:                     1.984</t>
        </is>
      </c>
    </row>
    <row r="40">
      <c r="A40" t="inlineStr">
        <is>
          <t>Date:                Wed, 10 Dec 2025   Prob (F-statistic):              0.153</t>
        </is>
      </c>
    </row>
    <row r="41">
      <c r="A41" t="inlineStr">
        <is>
          <t>Time:                        16:12:01   Log-Likelihood:                -64.537</t>
        </is>
      </c>
    </row>
    <row r="42">
      <c r="A42" t="inlineStr">
        <is>
          <t>No. Observations:                  38   AIC:                             135.1</t>
        </is>
      </c>
    </row>
    <row r="43">
      <c r="A43" t="inlineStr">
        <is>
          <t>Df Residuals:                      35   BIC:                             140.0</t>
        </is>
      </c>
    </row>
    <row r="44">
      <c r="A44" t="inlineStr">
        <is>
          <t xml:space="preserve">Df Model:                           2                                         </t>
        </is>
      </c>
    </row>
    <row r="45">
      <c r="A45" t="inlineStr">
        <is>
          <t xml:space="preserve">Covariance Type:            nonrobust                                         </t>
        </is>
      </c>
    </row>
    <row r="46">
      <c r="A46">
        <f>=============================================================================</f>
        <v/>
      </c>
    </row>
    <row r="47">
      <c r="A47" t="inlineStr">
        <is>
          <t xml:space="preserve">                 coef    std err          t      P&gt;|t|      [0.025      0.975]</t>
        </is>
      </c>
    </row>
    <row r="48">
      <c r="A48" t="inlineStr">
        <is>
          <t>------------------------------------------------------------------------------</t>
        </is>
      </c>
    </row>
    <row r="49">
      <c r="A49" t="inlineStr">
        <is>
          <t>Intercept     16.5794      0.903     18.355      0.000      14.746      18.413</t>
        </is>
      </c>
    </row>
    <row r="50">
      <c r="A50" t="inlineStr">
        <is>
          <t>ETR           19.0299     10.052      1.893      0.067      -1.376      39.436</t>
        </is>
      </c>
    </row>
    <row r="51">
      <c r="A51" t="inlineStr">
        <is>
          <t>ETR_sq       -43.6118     26.482     -1.647      0.109     -97.374      10.150</t>
        </is>
      </c>
    </row>
    <row r="52">
      <c r="A52">
        <f>=============================================================================</f>
        <v/>
      </c>
    </row>
    <row r="53">
      <c r="A53" t="inlineStr">
        <is>
          <t>Omnibus:                        0.576   Durbin-Watson:                   0.872</t>
        </is>
      </c>
    </row>
    <row r="54">
      <c r="A54" t="inlineStr">
        <is>
          <t>Prob(Omnibus):                  0.750   Jarque-Bera (JB):                0.672</t>
        </is>
      </c>
    </row>
    <row r="55">
      <c r="A55" t="inlineStr">
        <is>
          <t>Skew:                           0.121   Prob(JB):                        0.715</t>
        </is>
      </c>
    </row>
    <row r="56">
      <c r="A56" t="inlineStr">
        <is>
          <t>Kurtosis:                       2.395   Cond. No.                         128.</t>
        </is>
      </c>
    </row>
    <row r="57">
      <c r="A57">
        <f>=============================================================================</f>
        <v/>
      </c>
    </row>
    <row r="58">
      <c r="A58" t="inlineStr"/>
    </row>
    <row r="59">
      <c r="A59" t="inlineStr">
        <is>
          <t>Notes:</t>
        </is>
      </c>
    </row>
    <row r="60">
      <c r="A60" t="inlineStr">
        <is>
          <t>[1] Standard Errors assume that the covariance matrix of the errors is correctly specified.</t>
        </is>
      </c>
    </row>
    <row r="61">
      <c r="A61" t="inlineStr"/>
    </row>
    <row r="62">
      <c r="A62" t="inlineStr">
        <is>
          <t>[U-Test] Shape: Inverted U, Turning Point: 0.2182</t>
        </is>
      </c>
    </row>
    <row r="63">
      <c r="A63" t="inlineStr"/>
    </row>
    <row r="64">
      <c r="A64">
        <f>=============================</f>
        <v/>
      </c>
    </row>
    <row r="65">
      <c r="A65" t="inlineStr">
        <is>
          <t>Accrued M3</t>
        </is>
      </c>
    </row>
    <row r="66">
      <c r="A66">
        <f>=============================</f>
        <v/>
      </c>
    </row>
    <row r="67">
      <c r="A67" t="inlineStr">
        <is>
          <t xml:space="preserve">                            OLS Regression Results                            </t>
        </is>
      </c>
    </row>
    <row r="68">
      <c r="A68">
        <f>=============================================================================</f>
        <v/>
      </c>
    </row>
    <row r="69">
      <c r="A69" t="inlineStr">
        <is>
          <t>Dep. Variable:             ln_profits   R-squared:                       0.561</t>
        </is>
      </c>
    </row>
    <row r="70">
      <c r="A70" t="inlineStr">
        <is>
          <t>Model:                            OLS   Adj. R-squared:                  0.520</t>
        </is>
      </c>
    </row>
    <row r="71">
      <c r="A71" t="inlineStr">
        <is>
          <t>Method:                 Least Squares   F-statistic:                     13.65</t>
        </is>
      </c>
    </row>
    <row r="72">
      <c r="A72" t="inlineStr">
        <is>
          <t>Date:                Wed, 10 Dec 2025   Prob (F-statistic):           6.63e-06</t>
        </is>
      </c>
    </row>
    <row r="73">
      <c r="A73" t="inlineStr">
        <is>
          <t>Time:                        16:12:01   Log-Likelihood:                -49.003</t>
        </is>
      </c>
    </row>
    <row r="74">
      <c r="A74" t="inlineStr">
        <is>
          <t>No. Observations:                  36   AIC:                             106.0</t>
        </is>
      </c>
    </row>
    <row r="75">
      <c r="A75" t="inlineStr">
        <is>
          <t>Df Residuals:                      32   BIC:                             112.3</t>
        </is>
      </c>
    </row>
    <row r="76">
      <c r="A76" t="inlineStr">
        <is>
          <t xml:space="preserve">Df Model:                           3                                         </t>
        </is>
      </c>
    </row>
    <row r="77">
      <c r="A77" t="inlineStr">
        <is>
          <t xml:space="preserve">Covariance Type:            nonrobust                                         </t>
        </is>
      </c>
    </row>
    <row r="78">
      <c r="A78">
        <f>=====================================================================================</f>
        <v/>
      </c>
    </row>
    <row r="79">
      <c r="A79" t="inlineStr">
        <is>
          <t xml:space="preserve">                         coef    std err          t      P&gt;|t|      [0.025      0.975]</t>
        </is>
      </c>
    </row>
    <row r="80">
      <c r="A80" t="inlineStr">
        <is>
          <t>--------------------------------------------------------------------------------------</t>
        </is>
      </c>
    </row>
    <row r="81">
      <c r="A81" t="inlineStr">
        <is>
          <t>Intercept             10.5408      1.228      8.582      0.000       8.039      13.043</t>
        </is>
      </c>
    </row>
    <row r="82">
      <c r="A82" t="inlineStr">
        <is>
          <t>ETR                    0.6787      2.246      0.302      0.764      -3.897       5.254</t>
        </is>
      </c>
    </row>
    <row r="83">
      <c r="A83" t="inlineStr">
        <is>
          <t>ln_employees          -0.0348      0.149     -0.233      0.817      -0.338       0.269</t>
        </is>
      </c>
    </row>
    <row r="84">
      <c r="A84" t="inlineStr">
        <is>
          <t>ln_tangible_assets     0.4545      0.087      5.229      0.000       0.277       0.632</t>
        </is>
      </c>
    </row>
    <row r="85">
      <c r="A85">
        <f>=============================================================================</f>
        <v/>
      </c>
    </row>
    <row r="86">
      <c r="A86" t="inlineStr">
        <is>
          <t>Omnibus:                        0.126   Durbin-Watson:                   1.353</t>
        </is>
      </c>
    </row>
    <row r="87">
      <c r="A87" t="inlineStr">
        <is>
          <t>Prob(Omnibus):                  0.939   Jarque-Bera (JB):                0.237</t>
        </is>
      </c>
    </row>
    <row r="88">
      <c r="A88" t="inlineStr">
        <is>
          <t>Skew:                           0.126   Prob(JB):                        0.888</t>
        </is>
      </c>
    </row>
    <row r="89">
      <c r="A89" t="inlineStr">
        <is>
          <t>Kurtosis:                       2.694   Cond. No.                         255.</t>
        </is>
      </c>
    </row>
    <row r="90">
      <c r="A90">
        <f>=============================================================================</f>
        <v/>
      </c>
    </row>
    <row r="91">
      <c r="A91" t="inlineStr"/>
    </row>
    <row r="92">
      <c r="A92" t="inlineStr">
        <is>
          <t>Notes:</t>
        </is>
      </c>
    </row>
    <row r="93">
      <c r="A93" t="inlineStr">
        <is>
          <t>[1] Standard Errors assume that the covariance matrix of the errors is correctly specified.</t>
        </is>
      </c>
    </row>
    <row r="94">
      <c r="A94" t="inlineStr"/>
    </row>
    <row r="95">
      <c r="A95">
        <f>=============================</f>
        <v/>
      </c>
    </row>
    <row r="96">
      <c r="A96" t="inlineStr">
        <is>
          <t>Accrued M4</t>
        </is>
      </c>
    </row>
    <row r="97">
      <c r="A97">
        <f>=============================</f>
        <v/>
      </c>
    </row>
    <row r="98">
      <c r="A98" t="inlineStr">
        <is>
          <t xml:space="preserve">                            OLS Regression Results                            </t>
        </is>
      </c>
    </row>
    <row r="99">
      <c r="A99">
        <f>=============================================================================</f>
        <v/>
      </c>
    </row>
    <row r="100">
      <c r="A100" t="inlineStr">
        <is>
          <t>Dep. Variable:             ln_profits   R-squared:                       0.593</t>
        </is>
      </c>
    </row>
    <row r="101">
      <c r="A101" t="inlineStr">
        <is>
          <t>Model:                            OLS   Adj. R-squared:                  0.540</t>
        </is>
      </c>
    </row>
    <row r="102">
      <c r="A102" t="inlineStr">
        <is>
          <t>Method:                 Least Squares   F-statistic:                     11.29</t>
        </is>
      </c>
    </row>
    <row r="103">
      <c r="A103" t="inlineStr">
        <is>
          <t>Date:                Wed, 10 Dec 2025   Prob (F-statistic):           9.07e-06</t>
        </is>
      </c>
    </row>
    <row r="104">
      <c r="A104" t="inlineStr">
        <is>
          <t>Time:                        16:12:01   Log-Likelihood:                -47.659</t>
        </is>
      </c>
    </row>
    <row r="105">
      <c r="A105" t="inlineStr">
        <is>
          <t>No. Observations:                  36   AIC:                             105.3</t>
        </is>
      </c>
    </row>
    <row r="106">
      <c r="A106" t="inlineStr">
        <is>
          <t>Df Residuals:                      31   BIC:                             113.2</t>
        </is>
      </c>
    </row>
    <row r="107">
      <c r="A107" t="inlineStr">
        <is>
          <t xml:space="preserve">Df Model:                           4                                         </t>
        </is>
      </c>
    </row>
    <row r="108">
      <c r="A108" t="inlineStr">
        <is>
          <t xml:space="preserve">Covariance Type:            nonrobust                                         </t>
        </is>
      </c>
    </row>
    <row r="109">
      <c r="A109">
        <f>=====================================================================================</f>
        <v/>
      </c>
    </row>
    <row r="110">
      <c r="A110" t="inlineStr">
        <is>
          <t xml:space="preserve">                         coef    std err          t      P&gt;|t|      [0.025      0.975]</t>
        </is>
      </c>
    </row>
    <row r="111">
      <c r="A111" t="inlineStr">
        <is>
          <t>--------------------------------------------------------------------------------------</t>
        </is>
      </c>
    </row>
    <row r="112">
      <c r="A112" t="inlineStr">
        <is>
          <t>Intercept              9.9751      1.256      7.940      0.000       7.413      12.537</t>
        </is>
      </c>
    </row>
    <row r="113">
      <c r="A113" t="inlineStr">
        <is>
          <t>ETR                   11.8770      7.551      1.573      0.126      -3.524      27.278</t>
        </is>
      </c>
    </row>
    <row r="114">
      <c r="A114" t="inlineStr">
        <is>
          <t>ETR_sq               -30.0509     19.386     -1.550      0.131     -69.588       9.486</t>
        </is>
      </c>
    </row>
    <row r="115">
      <c r="A115" t="inlineStr">
        <is>
          <t>ln_employees          -0.0685      0.147     -0.465      0.645      -0.369       0.232</t>
        </is>
      </c>
    </row>
    <row r="116">
      <c r="A116" t="inlineStr">
        <is>
          <t>ln_tangible_assets     0.4523      0.085      5.316      0.000       0.279       0.626</t>
        </is>
      </c>
    </row>
    <row r="117">
      <c r="A117">
        <f>=============================================================================</f>
        <v/>
      </c>
    </row>
    <row r="118">
      <c r="A118" t="inlineStr">
        <is>
          <t>Omnibus:                        0.842   Durbin-Watson:                   1.410</t>
        </is>
      </c>
    </row>
    <row r="119">
      <c r="A119" t="inlineStr">
        <is>
          <t>Prob(Omnibus):                  0.657   Jarque-Bera (JB):                0.904</t>
        </is>
      </c>
    </row>
    <row r="120">
      <c r="A120" t="inlineStr">
        <is>
          <t>Skew:                           0.277   Prob(JB):                        0.637</t>
        </is>
      </c>
    </row>
    <row r="121">
      <c r="A121" t="inlineStr">
        <is>
          <t>Kurtosis:                       2.456   Cond. No.                     2.40e+03</t>
        </is>
      </c>
    </row>
    <row r="122">
      <c r="A122">
        <f>=============================================================================</f>
        <v/>
      </c>
    </row>
    <row r="123">
      <c r="A123" t="inlineStr"/>
    </row>
    <row r="124">
      <c r="A124" t="inlineStr">
        <is>
          <t>Notes:</t>
        </is>
      </c>
    </row>
    <row r="125">
      <c r="A125" t="inlineStr">
        <is>
          <t>[1] Standard Errors assume that the covariance matrix of the errors is correctly specified.</t>
        </is>
      </c>
    </row>
    <row r="126">
      <c r="A126" t="inlineStr">
        <is>
          <t>[2] The condition number is large, 2.4e+03. This might indicate that there are</t>
        </is>
      </c>
    </row>
    <row r="127">
      <c r="A127" t="inlineStr">
        <is>
          <t>strong multicollinearity or other numerical problems.</t>
        </is>
      </c>
    </row>
    <row r="128">
      <c r="A128" t="inlineStr"/>
    </row>
    <row r="129">
      <c r="A129" t="inlineStr">
        <is>
          <t>[U-Test] Shape: Inverted U, Turning Point: 0.1976</t>
        </is>
      </c>
    </row>
    <row r="130">
      <c r="A130" t="inlineStr">
        <is>
          <t>*** Paid Analysis ***</t>
        </is>
      </c>
    </row>
    <row r="131">
      <c r="A131" t="inlineStr"/>
    </row>
    <row r="132">
      <c r="A132">
        <f>=============================</f>
        <v/>
      </c>
    </row>
    <row r="133">
      <c r="A133" t="inlineStr">
        <is>
          <t>Paid M1</t>
        </is>
      </c>
    </row>
    <row r="134">
      <c r="A134">
        <f>=============================</f>
        <v/>
      </c>
    </row>
    <row r="135">
      <c r="A135" t="inlineStr">
        <is>
          <t xml:space="preserve">                            OLS Regression Results                            </t>
        </is>
      </c>
    </row>
    <row r="136">
      <c r="A136">
        <f>=============================================================================</f>
        <v/>
      </c>
    </row>
    <row r="137">
      <c r="A137" t="inlineStr">
        <is>
          <t>Dep. Variable:             ln_profits   R-squared:                       0.000</t>
        </is>
      </c>
    </row>
    <row r="138">
      <c r="A138" t="inlineStr">
        <is>
          <t>Model:                            OLS   Adj. R-squared:                 -0.028</t>
        </is>
      </c>
    </row>
    <row r="139">
      <c r="A139" t="inlineStr">
        <is>
          <t>Method:                 Least Squares   F-statistic:                   0.01711</t>
        </is>
      </c>
    </row>
    <row r="140">
      <c r="A140" t="inlineStr">
        <is>
          <t>Date:                Wed, 10 Dec 2025   Prob (F-statistic):              0.897</t>
        </is>
      </c>
    </row>
    <row r="141">
      <c r="A141" t="inlineStr">
        <is>
          <t>Time:                        16:12:01   Log-Likelihood:                -65.632</t>
        </is>
      </c>
    </row>
    <row r="142">
      <c r="A142" t="inlineStr">
        <is>
          <t>No. Observations:                  37   AIC:                             135.3</t>
        </is>
      </c>
    </row>
    <row r="143">
      <c r="A143" t="inlineStr">
        <is>
          <t>Df Residuals:                      35   BIC:                             138.5</t>
        </is>
      </c>
    </row>
    <row r="144">
      <c r="A144" t="inlineStr">
        <is>
          <t xml:space="preserve">Df Model:                           1                                         </t>
        </is>
      </c>
    </row>
    <row r="145">
      <c r="A145" t="inlineStr">
        <is>
          <t xml:space="preserve">Covariance Type:            nonrobust                                         </t>
        </is>
      </c>
    </row>
    <row r="146">
      <c r="A146">
        <f>=============================================================================</f>
        <v/>
      </c>
    </row>
    <row r="147">
      <c r="A147" t="inlineStr">
        <is>
          <t xml:space="preserve">                 coef    std err          t      P&gt;|t|      [0.025      0.975]</t>
        </is>
      </c>
    </row>
    <row r="148">
      <c r="A148" t="inlineStr">
        <is>
          <t>------------------------------------------------------------------------------</t>
        </is>
      </c>
    </row>
    <row r="149">
      <c r="A149" t="inlineStr">
        <is>
          <t>Intercept     18.3002      0.512     35.754      0.000      17.261      19.339</t>
        </is>
      </c>
    </row>
    <row r="150">
      <c r="A150" t="inlineStr">
        <is>
          <t>ETR           -0.2793      2.135     -0.131      0.897      -4.614       4.056</t>
        </is>
      </c>
    </row>
    <row r="151">
      <c r="A151">
        <f>=============================================================================</f>
        <v/>
      </c>
    </row>
    <row r="152">
      <c r="A152" t="inlineStr">
        <is>
          <t>Omnibus:                        0.832   Durbin-Watson:                   0.473</t>
        </is>
      </c>
    </row>
    <row r="153">
      <c r="A153" t="inlineStr">
        <is>
          <t>Prob(Omnibus):                  0.660   Jarque-Bera (JB):                0.871</t>
        </is>
      </c>
    </row>
    <row r="154">
      <c r="A154" t="inlineStr">
        <is>
          <t>Skew:                           0.219   Prob(JB):                        0.647</t>
        </is>
      </c>
    </row>
    <row r="155">
      <c r="A155" t="inlineStr">
        <is>
          <t>Kurtosis:                       2.389   Cond. No.                         9.26</t>
        </is>
      </c>
    </row>
    <row r="156">
      <c r="A156">
        <f>=============================================================================</f>
        <v/>
      </c>
    </row>
    <row r="157">
      <c r="A157" t="inlineStr"/>
    </row>
    <row r="158">
      <c r="A158" t="inlineStr">
        <is>
          <t>Notes:</t>
        </is>
      </c>
    </row>
    <row r="159">
      <c r="A159" t="inlineStr">
        <is>
          <t>[1] Standard Errors assume that the covariance matrix of the errors is correctly specified.</t>
        </is>
      </c>
    </row>
    <row r="160">
      <c r="A160" t="inlineStr"/>
    </row>
    <row r="161">
      <c r="A161">
        <f>=============================</f>
        <v/>
      </c>
    </row>
    <row r="162">
      <c r="A162" t="inlineStr">
        <is>
          <t>Paid M2</t>
        </is>
      </c>
    </row>
    <row r="163">
      <c r="A163">
        <f>=============================</f>
        <v/>
      </c>
    </row>
    <row r="164">
      <c r="A164" t="inlineStr">
        <is>
          <t xml:space="preserve">                            OLS Regression Results                            </t>
        </is>
      </c>
    </row>
    <row r="165">
      <c r="A165">
        <f>=============================================================================</f>
        <v/>
      </c>
    </row>
    <row r="166">
      <c r="A166" t="inlineStr">
        <is>
          <t>Dep. Variable:             ln_profits   R-squared:                       0.018</t>
        </is>
      </c>
    </row>
    <row r="167">
      <c r="A167" t="inlineStr">
        <is>
          <t>Model:                            OLS   Adj. R-squared:                 -0.040</t>
        </is>
      </c>
    </row>
    <row r="168">
      <c r="A168" t="inlineStr">
        <is>
          <t>Method:                 Least Squares   F-statistic:                    0.3091</t>
        </is>
      </c>
    </row>
    <row r="169">
      <c r="A169" t="inlineStr">
        <is>
          <t>Date:                Wed, 10 Dec 2025   Prob (F-statistic):              0.736</t>
        </is>
      </c>
    </row>
    <row r="170">
      <c r="A170" t="inlineStr">
        <is>
          <t>Time:                        16:12:01   Log-Likelihood:                -65.308</t>
        </is>
      </c>
    </row>
    <row r="171">
      <c r="A171" t="inlineStr">
        <is>
          <t>No. Observations:                  37   AIC:                             136.6</t>
        </is>
      </c>
    </row>
    <row r="172">
      <c r="A172" t="inlineStr">
        <is>
          <t>Df Residuals:                      34   BIC:                             141.4</t>
        </is>
      </c>
    </row>
    <row r="173">
      <c r="A173" t="inlineStr">
        <is>
          <t xml:space="preserve">Df Model:                           2                                         </t>
        </is>
      </c>
    </row>
    <row r="174">
      <c r="A174" t="inlineStr">
        <is>
          <t xml:space="preserve">Covariance Type:            nonrobust                                         </t>
        </is>
      </c>
    </row>
    <row r="175">
      <c r="A175">
        <f>=============================================================================</f>
        <v/>
      </c>
    </row>
    <row r="176">
      <c r="A176" t="inlineStr">
        <is>
          <t xml:space="preserve">                 coef    std err          t      P&gt;|t|      [0.025      0.975]</t>
        </is>
      </c>
    </row>
    <row r="177">
      <c r="A177" t="inlineStr">
        <is>
          <t>------------------------------------------------------------------------------</t>
        </is>
      </c>
    </row>
    <row r="178">
      <c r="A178" t="inlineStr">
        <is>
          <t>Intercept     17.7606      0.866     20.517      0.000      16.001      19.520</t>
        </is>
      </c>
    </row>
    <row r="179">
      <c r="A179" t="inlineStr">
        <is>
          <t>ETR            5.6140      7.898      0.711      0.482     -10.437      21.665</t>
        </is>
      </c>
    </row>
    <row r="180">
      <c r="A180" t="inlineStr">
        <is>
          <t>ETR_sq       -12.2974     15.860     -0.775      0.443     -44.529      19.934</t>
        </is>
      </c>
    </row>
    <row r="181">
      <c r="A181">
        <f>=============================================================================</f>
        <v/>
      </c>
    </row>
    <row r="182">
      <c r="A182" t="inlineStr">
        <is>
          <t>Omnibus:                        0.709   Durbin-Watson:                   0.515</t>
        </is>
      </c>
    </row>
    <row r="183">
      <c r="A183" t="inlineStr">
        <is>
          <t>Prob(Omnibus):                  0.702   Jarque-Bera (JB):                0.789</t>
        </is>
      </c>
    </row>
    <row r="184">
      <c r="A184" t="inlineStr">
        <is>
          <t>Skew:                           0.208   Prob(JB):                        0.674</t>
        </is>
      </c>
    </row>
    <row r="185">
      <c r="A185" t="inlineStr">
        <is>
          <t>Kurtosis:                       2.418   Cond. No.                         74.5</t>
        </is>
      </c>
    </row>
    <row r="186">
      <c r="A186">
        <f>=============================================================================</f>
        <v/>
      </c>
    </row>
    <row r="187">
      <c r="A187" t="inlineStr"/>
    </row>
    <row r="188">
      <c r="A188" t="inlineStr">
        <is>
          <t>Notes:</t>
        </is>
      </c>
    </row>
    <row r="189">
      <c r="A189" t="inlineStr">
        <is>
          <t>[1] Standard Errors assume that the covariance matrix of the errors is correctly specified.</t>
        </is>
      </c>
    </row>
    <row r="190">
      <c r="A190" t="inlineStr"/>
    </row>
    <row r="191">
      <c r="A191" t="inlineStr">
        <is>
          <t>[U-Test] Shape: Inverted U, Turning Point: 0.2283</t>
        </is>
      </c>
    </row>
    <row r="192">
      <c r="A192" t="inlineStr"/>
    </row>
    <row r="193">
      <c r="A193">
        <f>=============================</f>
        <v/>
      </c>
    </row>
    <row r="194">
      <c r="A194" t="inlineStr">
        <is>
          <t>Paid M3</t>
        </is>
      </c>
    </row>
    <row r="195">
      <c r="A195">
        <f>=============================</f>
        <v/>
      </c>
    </row>
    <row r="196">
      <c r="A196" t="inlineStr">
        <is>
          <t xml:space="preserve">                            OLS Regression Results                            </t>
        </is>
      </c>
    </row>
    <row r="197">
      <c r="A197">
        <f>=============================================================================</f>
        <v/>
      </c>
    </row>
    <row r="198">
      <c r="A198" t="inlineStr">
        <is>
          <t>Dep. Variable:             ln_profits   R-squared:                       0.642</t>
        </is>
      </c>
    </row>
    <row r="199">
      <c r="A199" t="inlineStr">
        <is>
          <t>Model:                            OLS   Adj. R-squared:                  0.609</t>
        </is>
      </c>
    </row>
    <row r="200">
      <c r="A200" t="inlineStr">
        <is>
          <t>Method:                 Least Squares   F-statistic:                     19.15</t>
        </is>
      </c>
    </row>
    <row r="201">
      <c r="A201" t="inlineStr">
        <is>
          <t>Date:                Wed, 10 Dec 2025   Prob (F-statistic):           2.71e-07</t>
        </is>
      </c>
    </row>
    <row r="202">
      <c r="A202" t="inlineStr">
        <is>
          <t>Time:                        16:12:01   Log-Likelihood:                -45.855</t>
        </is>
      </c>
    </row>
    <row r="203">
      <c r="A203" t="inlineStr">
        <is>
          <t>No. Observations:                  36   AIC:                             99.71</t>
        </is>
      </c>
    </row>
    <row r="204">
      <c r="A204" t="inlineStr">
        <is>
          <t>Df Residuals:                      32   BIC:                             106.0</t>
        </is>
      </c>
    </row>
    <row r="205">
      <c r="A205" t="inlineStr">
        <is>
          <t xml:space="preserve">Df Model:                           3                                         </t>
        </is>
      </c>
    </row>
    <row r="206">
      <c r="A206" t="inlineStr">
        <is>
          <t xml:space="preserve">Covariance Type:            nonrobust                                         </t>
        </is>
      </c>
    </row>
    <row r="207">
      <c r="A207">
        <f>=====================================================================================</f>
        <v/>
      </c>
    </row>
    <row r="208">
      <c r="A208" t="inlineStr">
        <is>
          <t xml:space="preserve">                         coef    std err          t      P&gt;|t|      [0.025      0.975]</t>
        </is>
      </c>
    </row>
    <row r="209">
      <c r="A209" t="inlineStr">
        <is>
          <t>--------------------------------------------------------------------------------------</t>
        </is>
      </c>
    </row>
    <row r="210">
      <c r="A210" t="inlineStr">
        <is>
          <t>Intercept             10.1378      1.129      8.977      0.000       7.837      12.438</t>
        </is>
      </c>
    </row>
    <row r="211">
      <c r="A211" t="inlineStr">
        <is>
          <t>ETR                   -2.4868      1.488     -1.671      0.104      -5.518       0.545</t>
        </is>
      </c>
    </row>
    <row r="212">
      <c r="A212" t="inlineStr">
        <is>
          <t>ln_employees           0.0251      0.141      0.178      0.860      -0.263       0.313</t>
        </is>
      </c>
    </row>
    <row r="213">
      <c r="A213" t="inlineStr">
        <is>
          <t>ln_tangible_assets     0.4867      0.079      6.163      0.000       0.326       0.648</t>
        </is>
      </c>
    </row>
    <row r="214">
      <c r="A214">
        <f>=============================================================================</f>
        <v/>
      </c>
    </row>
    <row r="215">
      <c r="A215" t="inlineStr">
        <is>
          <t>Omnibus:                        0.128   Durbin-Watson:                   1.500</t>
        </is>
      </c>
    </row>
    <row r="216">
      <c r="A216" t="inlineStr">
        <is>
          <t>Prob(Omnibus):                  0.938   Jarque-Bera (JB):                0.114</t>
        </is>
      </c>
    </row>
    <row r="217">
      <c r="A217" t="inlineStr">
        <is>
          <t>Skew:                          -0.105   Prob(JB):                        0.945</t>
        </is>
      </c>
    </row>
    <row r="218">
      <c r="A218" t="inlineStr">
        <is>
          <t>Kurtosis:                       2.822   Cond. No.                         185.</t>
        </is>
      </c>
    </row>
    <row r="219">
      <c r="A219">
        <f>=============================================================================</f>
        <v/>
      </c>
    </row>
    <row r="220">
      <c r="A220" t="inlineStr"/>
    </row>
    <row r="221">
      <c r="A221" t="inlineStr">
        <is>
          <t>Notes:</t>
        </is>
      </c>
    </row>
    <row r="222">
      <c r="A222" t="inlineStr">
        <is>
          <t>[1] Standard Errors assume that the covariance matrix of the errors is correctly specified.</t>
        </is>
      </c>
    </row>
    <row r="223">
      <c r="A223" t="inlineStr"/>
    </row>
    <row r="224">
      <c r="A224">
        <f>=============================</f>
        <v/>
      </c>
    </row>
    <row r="225">
      <c r="A225" t="inlineStr">
        <is>
          <t>Paid M4</t>
        </is>
      </c>
    </row>
    <row r="226">
      <c r="A226">
        <f>=============================</f>
        <v/>
      </c>
    </row>
    <row r="227">
      <c r="A227" t="inlineStr">
        <is>
          <t xml:space="preserve">                            OLS Regression Results                            </t>
        </is>
      </c>
    </row>
    <row r="228">
      <c r="A228">
        <f>=============================================================================</f>
        <v/>
      </c>
    </row>
    <row r="229">
      <c r="A229" t="inlineStr">
        <is>
          <t>Dep. Variable:             ln_profits   R-squared:                       0.681</t>
        </is>
      </c>
    </row>
    <row r="230">
      <c r="A230" t="inlineStr">
        <is>
          <t>Model:                            OLS   Adj. R-squared:                  0.639</t>
        </is>
      </c>
    </row>
    <row r="231">
      <c r="A231" t="inlineStr">
        <is>
          <t>Method:                 Least Squares   F-statistic:                     16.51</t>
        </is>
      </c>
    </row>
    <row r="232">
      <c r="A232" t="inlineStr">
        <is>
          <t>Date:                Wed, 10 Dec 2025   Prob (F-statistic):           2.40e-07</t>
        </is>
      </c>
    </row>
    <row r="233">
      <c r="A233" t="inlineStr">
        <is>
          <t>Time:                        16:12:01   Log-Likelihood:                -43.814</t>
        </is>
      </c>
    </row>
    <row r="234">
      <c r="A234" t="inlineStr">
        <is>
          <t>No. Observations:                  36   AIC:                             97.63</t>
        </is>
      </c>
    </row>
    <row r="235">
      <c r="A235" t="inlineStr">
        <is>
          <t>Df Residuals:                      31   BIC:                             105.5</t>
        </is>
      </c>
    </row>
    <row r="236">
      <c r="A236" t="inlineStr">
        <is>
          <t xml:space="preserve">Df Model:                           4                                         </t>
        </is>
      </c>
    </row>
    <row r="237">
      <c r="A237" t="inlineStr">
        <is>
          <t xml:space="preserve">Covariance Type:            nonrobust                                         </t>
        </is>
      </c>
    </row>
    <row r="238">
      <c r="A238">
        <f>=====================================================================================</f>
        <v/>
      </c>
    </row>
    <row r="239">
      <c r="A239" t="inlineStr">
        <is>
          <t xml:space="preserve">                         coef    std err          t      P&gt;|t|      [0.025      0.975]</t>
        </is>
      </c>
    </row>
    <row r="240">
      <c r="A240" t="inlineStr">
        <is>
          <t>--------------------------------------------------------------------------------------</t>
        </is>
      </c>
    </row>
    <row r="241">
      <c r="A241" t="inlineStr">
        <is>
          <t>Intercept              9.2018      1.188      7.747      0.000       6.779      11.624</t>
        </is>
      </c>
    </row>
    <row r="242">
      <c r="A242" t="inlineStr">
        <is>
          <t>ETR                    6.9238      5.083      1.362      0.183      -3.444      17.291</t>
        </is>
      </c>
    </row>
    <row r="243">
      <c r="A243" t="inlineStr">
        <is>
          <t>ETR_sq               -19.0717      9.887     -1.929      0.063     -39.236       1.092</t>
        </is>
      </c>
    </row>
    <row r="244">
      <c r="A244" t="inlineStr">
        <is>
          <t>ln_employees          -0.0491      0.141     -0.348      0.730      -0.337       0.239</t>
        </is>
      </c>
    </row>
    <row r="245">
      <c r="A245" t="inlineStr">
        <is>
          <t>ln_tangible_assets     0.5195      0.078      6.686      0.000       0.361       0.678</t>
        </is>
      </c>
    </row>
    <row r="246">
      <c r="A246">
        <f>=============================================================================</f>
        <v/>
      </c>
    </row>
    <row r="247">
      <c r="A247" t="inlineStr">
        <is>
          <t>Omnibus:                        1.848   Durbin-Watson:                   1.473</t>
        </is>
      </c>
    </row>
    <row r="248">
      <c r="A248" t="inlineStr">
        <is>
          <t>Prob(Omnibus):                  0.397   Jarque-Bera (JB):                1.299</t>
        </is>
      </c>
    </row>
    <row r="249">
      <c r="A249" t="inlineStr">
        <is>
          <t>Skew:                           0.217   Prob(JB):                        0.522</t>
        </is>
      </c>
    </row>
    <row r="250">
      <c r="A250" t="inlineStr">
        <is>
          <t>Kurtosis:                       2.177   Cond. No.                     1.43e+03</t>
        </is>
      </c>
    </row>
    <row r="251">
      <c r="A251">
        <f>=============================================================================</f>
        <v/>
      </c>
    </row>
    <row r="252">
      <c r="A252" t="inlineStr"/>
    </row>
    <row r="253">
      <c r="A253" t="inlineStr">
        <is>
          <t>Notes:</t>
        </is>
      </c>
    </row>
    <row r="254">
      <c r="A254" t="inlineStr">
        <is>
          <t>[1] Standard Errors assume that the covariance matrix of the errors is correctly specified.</t>
        </is>
      </c>
    </row>
    <row r="255">
      <c r="A255" t="inlineStr">
        <is>
          <t>[2] The condition number is large, 1.43e+03. This might indicate that there are</t>
        </is>
      </c>
    </row>
    <row r="256">
      <c r="A256" t="inlineStr">
        <is>
          <t>strong multicollinearity or other numerical problems.</t>
        </is>
      </c>
    </row>
    <row r="257">
      <c r="A257" t="inlineStr"/>
    </row>
    <row r="258">
      <c r="A258" t="inlineStr">
        <is>
          <t>[U-Test] Shape: Inverted U, Turning Point: 0.1815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2025-12-10T15:12:01Z</dcterms:created>
  <dcterms:modified xsi:type="dcterms:W3CDTF">2025-12-10T15:12:01Z</dcterms:modified>
</cp:coreProperties>
</file>