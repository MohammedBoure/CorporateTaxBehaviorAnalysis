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CLEANED_DATA" sheetId="1" state="visible" r:id="rId1"/>
    <sheet name="Accrued_BASE1" sheetId="2" state="visible" r:id="rId2"/>
    <sheet name="Accrued_BASE2" sheetId="3" state="visible" r:id="rId3"/>
    <sheet name="Paid_BASE1" sheetId="4" state="visible" r:id="rId4"/>
    <sheet name="Paid_BASE2" sheetId="5" state="visible" r:id="rId5"/>
    <sheet name="Regression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</row>
    <row r="2">
      <c r="A2" t="inlineStr">
        <is>
          <t>ACCIONA</t>
        </is>
      </c>
      <c r="B2" t="n">
        <v>2020</v>
      </c>
      <c r="C2" t="inlineStr">
        <is>
          <t>Construction</t>
        </is>
      </c>
      <c r="D2" t="inlineStr">
        <is>
          <t>ESP</t>
        </is>
      </c>
      <c r="E2" t="inlineStr">
        <is>
          <t>Spain</t>
        </is>
      </c>
      <c r="F2" t="inlineStr">
        <is>
          <t>DEU</t>
        </is>
      </c>
      <c r="G2" t="inlineStr">
        <is>
          <t>Germany</t>
        </is>
      </c>
      <c r="H2" t="n">
        <v>12000000</v>
      </c>
      <c r="I2" t="n">
        <v>75000000</v>
      </c>
      <c r="J2" t="n">
        <v>-100000</v>
      </c>
      <c r="K2" t="n">
        <v>428</v>
      </c>
      <c r="L2" t="inlineStr"/>
      <c r="M2" t="n">
        <v>-8000000</v>
      </c>
      <c r="N2" t="inlineStr"/>
      <c r="O2" t="inlineStr"/>
      <c r="P2" t="inlineStr"/>
      <c r="Q2" t="inlineStr"/>
      <c r="R2" t="inlineStr">
        <is>
          <t>EUR</t>
        </is>
      </c>
    </row>
    <row r="3">
      <c r="A3" t="inlineStr">
        <is>
          <t>ACCIONA</t>
        </is>
      </c>
      <c r="B3" t="n">
        <v>2021</v>
      </c>
      <c r="C3" t="inlineStr">
        <is>
          <t>Construction</t>
        </is>
      </c>
      <c r="D3" t="inlineStr">
        <is>
          <t>ESP</t>
        </is>
      </c>
      <c r="E3" t="inlineStr">
        <is>
          <t>Spain</t>
        </is>
      </c>
      <c r="F3" t="inlineStr">
        <is>
          <t>DEU</t>
        </is>
      </c>
      <c r="G3" t="inlineStr">
        <is>
          <t>Germany</t>
        </is>
      </c>
      <c r="H3" t="n">
        <v>11000000</v>
      </c>
      <c r="I3" t="n">
        <v>-75000000</v>
      </c>
      <c r="J3" t="n">
        <v>100000</v>
      </c>
      <c r="K3" t="n">
        <v>430</v>
      </c>
      <c r="L3" t="inlineStr"/>
      <c r="M3" t="n">
        <v>8000000</v>
      </c>
      <c r="N3" t="inlineStr"/>
      <c r="O3" t="inlineStr"/>
      <c r="P3" t="inlineStr"/>
      <c r="Q3" t="inlineStr"/>
      <c r="R3" t="inlineStr">
        <is>
          <t>EUR</t>
        </is>
      </c>
    </row>
    <row r="4">
      <c r="A4" t="inlineStr">
        <is>
          <t>ADECCO</t>
        </is>
      </c>
      <c r="B4" t="n">
        <v>2021</v>
      </c>
      <c r="C4" t="inlineStr">
        <is>
          <t>Business and Financial Services</t>
        </is>
      </c>
      <c r="D4" t="inlineStr">
        <is>
          <t>CHE</t>
        </is>
      </c>
      <c r="E4" t="inlineStr">
        <is>
          <t>Switzerland</t>
        </is>
      </c>
      <c r="F4" t="inlineStr">
        <is>
          <t>DEU</t>
        </is>
      </c>
      <c r="G4" t="inlineStr">
        <is>
          <t>Germany</t>
        </is>
      </c>
      <c r="H4" t="n">
        <v>1232784381</v>
      </c>
      <c r="I4" t="n">
        <v>-11321733</v>
      </c>
      <c r="J4" t="n">
        <v>20090383</v>
      </c>
      <c r="K4" t="n">
        <v>1854</v>
      </c>
      <c r="L4" t="n">
        <v>15182885</v>
      </c>
      <c r="M4" t="n">
        <v>2350846</v>
      </c>
      <c r="N4" t="n">
        <v>1217633739</v>
      </c>
      <c r="O4" t="n">
        <v>15150642</v>
      </c>
      <c r="P4" t="n">
        <v>12475564</v>
      </c>
      <c r="Q4" t="n">
        <v>-2034822197</v>
      </c>
      <c r="R4" t="inlineStr">
        <is>
          <t>EUR</t>
        </is>
      </c>
    </row>
    <row r="5">
      <c r="A5" t="inlineStr">
        <is>
          <t>ADYEN</t>
        </is>
      </c>
      <c r="B5" t="n">
        <v>2020</v>
      </c>
      <c r="C5" t="inlineStr">
        <is>
          <t>Business and Financial Services</t>
        </is>
      </c>
      <c r="D5" t="inlineStr">
        <is>
          <t>NLD</t>
        </is>
      </c>
      <c r="E5" t="inlineStr">
        <is>
          <t>Netherlands</t>
        </is>
      </c>
      <c r="F5" t="inlineStr">
        <is>
          <t>DEU</t>
        </is>
      </c>
      <c r="G5" t="inlineStr">
        <is>
          <t>Germany</t>
        </is>
      </c>
      <c r="H5" t="inlineStr"/>
      <c r="I5" t="n">
        <v>1981000</v>
      </c>
      <c r="J5" t="inlineStr"/>
      <c r="K5" t="n">
        <v>42</v>
      </c>
      <c r="L5" t="inlineStr"/>
      <c r="M5" t="n">
        <v>508000</v>
      </c>
      <c r="N5" t="inlineStr"/>
      <c r="O5" t="inlineStr"/>
      <c r="P5" t="inlineStr"/>
      <c r="Q5" t="inlineStr"/>
      <c r="R5" t="inlineStr">
        <is>
          <t>EUR</t>
        </is>
      </c>
    </row>
    <row r="6">
      <c r="A6" t="inlineStr">
        <is>
          <t>ADYEN</t>
        </is>
      </c>
      <c r="B6" t="n">
        <v>2021</v>
      </c>
      <c r="C6" t="inlineStr">
        <is>
          <t>Business and Financial Services</t>
        </is>
      </c>
      <c r="D6" t="inlineStr">
        <is>
          <t>NLD</t>
        </is>
      </c>
      <c r="E6" t="inlineStr">
        <is>
          <t>Netherlands</t>
        </is>
      </c>
      <c r="F6" t="inlineStr">
        <is>
          <t>DEU</t>
        </is>
      </c>
      <c r="G6" t="inlineStr">
        <is>
          <t>Germany</t>
        </is>
      </c>
      <c r="H6" t="inlineStr"/>
      <c r="I6" t="n">
        <v>3630000</v>
      </c>
      <c r="J6" t="n">
        <v>687000</v>
      </c>
      <c r="K6" t="n">
        <v>58</v>
      </c>
      <c r="L6" t="inlineStr"/>
      <c r="M6" t="n">
        <v>1343000</v>
      </c>
      <c r="N6" t="inlineStr"/>
      <c r="O6" t="inlineStr"/>
      <c r="P6" t="inlineStr"/>
      <c r="Q6" t="inlineStr"/>
      <c r="R6" t="inlineStr">
        <is>
          <t>EUR</t>
        </is>
      </c>
    </row>
    <row r="7">
      <c r="A7" t="inlineStr">
        <is>
          <t>AEGON</t>
        </is>
      </c>
      <c r="B7" t="n">
        <v>2020</v>
      </c>
      <c r="C7" t="inlineStr">
        <is>
          <t>Business and Financial Services</t>
        </is>
      </c>
      <c r="D7" t="inlineStr">
        <is>
          <t>NLD</t>
        </is>
      </c>
      <c r="E7" t="inlineStr">
        <is>
          <t>Netherlands</t>
        </is>
      </c>
      <c r="F7" t="inlineStr">
        <is>
          <t>DEU</t>
        </is>
      </c>
      <c r="G7" t="inlineStr">
        <is>
          <t>Germany</t>
        </is>
      </c>
      <c r="H7" t="inlineStr"/>
      <c r="I7" t="n">
        <v>100000</v>
      </c>
      <c r="J7" t="inlineStr"/>
      <c r="K7" t="n">
        <v>4</v>
      </c>
      <c r="L7" t="inlineStr"/>
      <c r="M7" t="n">
        <v>-100000</v>
      </c>
      <c r="N7" t="inlineStr"/>
      <c r="O7" t="n">
        <v>2200000</v>
      </c>
      <c r="P7" t="inlineStr"/>
      <c r="Q7" t="inlineStr"/>
      <c r="R7" t="inlineStr">
        <is>
          <t>EUR</t>
        </is>
      </c>
    </row>
    <row r="8">
      <c r="A8" t="inlineStr">
        <is>
          <t>ALLIANZ</t>
        </is>
      </c>
      <c r="B8" t="n">
        <v>2021</v>
      </c>
      <c r="C8" t="inlineStr">
        <is>
          <t>Business and Financial Services</t>
        </is>
      </c>
      <c r="D8" t="inlineStr">
        <is>
          <t>DEU</t>
        </is>
      </c>
      <c r="E8" t="inlineStr">
        <is>
          <t>Germany</t>
        </is>
      </c>
      <c r="F8" t="inlineStr">
        <is>
          <t>DEU</t>
        </is>
      </c>
      <c r="G8" t="inlineStr">
        <is>
          <t>Germany</t>
        </is>
      </c>
      <c r="H8" t="n">
        <v>54357000000</v>
      </c>
      <c r="I8" t="n">
        <v>2128500000</v>
      </c>
      <c r="J8" t="n">
        <v>735700000</v>
      </c>
      <c r="K8" t="n">
        <v>46081</v>
      </c>
      <c r="L8" t="n">
        <v>5143300000</v>
      </c>
      <c r="M8" t="n">
        <v>513500000</v>
      </c>
      <c r="N8" t="inlineStr"/>
      <c r="O8" t="inlineStr"/>
      <c r="P8" t="inlineStr"/>
      <c r="Q8" t="inlineStr"/>
      <c r="R8" t="inlineStr">
        <is>
          <t>EUR</t>
        </is>
      </c>
    </row>
    <row r="9">
      <c r="A9" t="inlineStr">
        <is>
          <t>ANGLO AMERICAN</t>
        </is>
      </c>
      <c r="B9" t="n">
        <v>2018</v>
      </c>
      <c r="C9" t="inlineStr">
        <is>
          <t>Oil, Gas and Mining</t>
        </is>
      </c>
      <c r="D9" t="inlineStr">
        <is>
          <t>GBR</t>
        </is>
      </c>
      <c r="E9" t="inlineStr">
        <is>
          <t>United Kingdom</t>
        </is>
      </c>
      <c r="F9" t="inlineStr">
        <is>
          <t>DEU</t>
        </is>
      </c>
      <c r="G9" t="inlineStr">
        <is>
          <t>Germany</t>
        </is>
      </c>
      <c r="H9" t="n">
        <v>73755453.00592721</v>
      </c>
      <c r="I9" t="n">
        <v>4840286.19813717</v>
      </c>
      <c r="J9" t="n">
        <v>733981.371718882</v>
      </c>
      <c r="K9" t="n">
        <v>306</v>
      </c>
      <c r="L9" t="n">
        <v>27671773.0736664</v>
      </c>
      <c r="M9" t="n">
        <v>1374700.25402202</v>
      </c>
      <c r="N9" t="n">
        <v>68198905.1651143</v>
      </c>
      <c r="O9" t="n">
        <v>5556547.84081287</v>
      </c>
      <c r="P9" t="n">
        <v>25669592.7180356</v>
      </c>
      <c r="Q9" t="n">
        <v>-16634852.6672312</v>
      </c>
      <c r="R9" t="inlineStr">
        <is>
          <t>EUR</t>
        </is>
      </c>
    </row>
    <row r="10">
      <c r="A10" t="inlineStr">
        <is>
          <t>ANGLO AMERICAN</t>
        </is>
      </c>
      <c r="B10" t="n">
        <v>2019</v>
      </c>
      <c r="C10" t="inlineStr">
        <is>
          <t>Oil, Gas and Mining</t>
        </is>
      </c>
      <c r="D10" t="inlineStr">
        <is>
          <t>GBR</t>
        </is>
      </c>
      <c r="E10" t="inlineStr">
        <is>
          <t>United Kingdom</t>
        </is>
      </c>
      <c r="F10" t="inlineStr">
        <is>
          <t>DEU</t>
        </is>
      </c>
      <c r="G10" t="inlineStr">
        <is>
          <t>Germany</t>
        </is>
      </c>
      <c r="H10" t="n">
        <v>71554278.69584639</v>
      </c>
      <c r="I10" t="n">
        <v>4125112.9968736</v>
      </c>
      <c r="J10" t="n">
        <v>1108326.03841</v>
      </c>
      <c r="K10" t="n">
        <v>371</v>
      </c>
      <c r="L10" t="n">
        <v>29189007.5926753</v>
      </c>
      <c r="M10" t="n">
        <v>1229036.17686467</v>
      </c>
      <c r="N10" t="n">
        <v>66753826.7083519</v>
      </c>
      <c r="O10" t="n">
        <v>4800451.98749442</v>
      </c>
      <c r="P10" t="n">
        <v>27079757.9276463</v>
      </c>
      <c r="Q10" t="n">
        <v>-10359847.2532381</v>
      </c>
      <c r="R10" t="inlineStr">
        <is>
          <t>EUR</t>
        </is>
      </c>
    </row>
    <row r="11">
      <c r="A11" t="inlineStr">
        <is>
          <t>ANGLO AMERICAN</t>
        </is>
      </c>
      <c r="B11" t="n">
        <v>2020</v>
      </c>
      <c r="C11" t="inlineStr">
        <is>
          <t>Oil, Gas and Mining</t>
        </is>
      </c>
      <c r="D11" t="inlineStr">
        <is>
          <t>GBR</t>
        </is>
      </c>
      <c r="E11" t="inlineStr">
        <is>
          <t>United Kingdom</t>
        </is>
      </c>
      <c r="F11" t="inlineStr">
        <is>
          <t>DEU</t>
        </is>
      </c>
      <c r="G11" t="inlineStr">
        <is>
          <t>Germany</t>
        </is>
      </c>
      <c r="H11" t="n">
        <v>75174390.6496235</v>
      </c>
      <c r="I11" t="n">
        <v>7972561.72299072</v>
      </c>
      <c r="J11" t="n">
        <v>1205961.30274908</v>
      </c>
      <c r="K11" t="n">
        <v>354</v>
      </c>
      <c r="L11" t="n">
        <v>32713429.3468744</v>
      </c>
      <c r="M11" t="n">
        <v>2154587.63789179</v>
      </c>
      <c r="N11" t="n">
        <v>71673191.20994569</v>
      </c>
      <c r="O11" t="n">
        <v>3501199.43967781</v>
      </c>
      <c r="P11" t="n">
        <v>26541576.7816494</v>
      </c>
      <c r="Q11" t="n">
        <v>-16689655.0516547</v>
      </c>
      <c r="R11" t="inlineStr">
        <is>
          <t>EUR</t>
        </is>
      </c>
    </row>
    <row r="12">
      <c r="A12" t="inlineStr">
        <is>
          <t>ANGLO AMERICAN</t>
        </is>
      </c>
      <c r="B12" t="n">
        <v>2021</v>
      </c>
      <c r="C12" t="inlineStr">
        <is>
          <t>Oil, Gas and Mining</t>
        </is>
      </c>
      <c r="D12" t="inlineStr">
        <is>
          <t>GBR</t>
        </is>
      </c>
      <c r="E12" t="inlineStr">
        <is>
          <t>United Kingdom</t>
        </is>
      </c>
      <c r="F12" t="inlineStr">
        <is>
          <t>DEU</t>
        </is>
      </c>
      <c r="G12" t="inlineStr">
        <is>
          <t>Germany</t>
        </is>
      </c>
      <c r="H12" t="n">
        <v>87380003.38209181</v>
      </c>
      <c r="I12" t="n">
        <v>10910811.7020377</v>
      </c>
      <c r="J12" t="n">
        <v>2289207.74499028</v>
      </c>
      <c r="K12" t="n">
        <v>338</v>
      </c>
      <c r="L12" t="n">
        <v>33856792.0859051</v>
      </c>
      <c r="M12" t="n">
        <v>3407040.66965418</v>
      </c>
      <c r="N12" t="n">
        <v>82078949.8604887</v>
      </c>
      <c r="O12" t="n">
        <v>5301053.52160311</v>
      </c>
      <c r="P12" t="n">
        <v>25632695.5271836</v>
      </c>
      <c r="Q12" t="n">
        <v>-24054006.9332882</v>
      </c>
      <c r="R12" t="inlineStr">
        <is>
          <t>EUR</t>
        </is>
      </c>
    </row>
    <row r="13">
      <c r="A13" t="inlineStr">
        <is>
          <t>AQUAFIL</t>
        </is>
      </c>
      <c r="B13" t="n">
        <v>2021</v>
      </c>
      <c r="C13" t="inlineStr">
        <is>
          <t>Clothing and Luxury Goods</t>
        </is>
      </c>
      <c r="D13" t="inlineStr">
        <is>
          <t>ITA</t>
        </is>
      </c>
      <c r="E13" t="inlineStr">
        <is>
          <t>Italy</t>
        </is>
      </c>
      <c r="F13" t="inlineStr">
        <is>
          <t>DEU</t>
        </is>
      </c>
      <c r="G13" t="inlineStr">
        <is>
          <t>Germany</t>
        </is>
      </c>
      <c r="H13" t="inlineStr"/>
      <c r="I13" t="n">
        <v>476000</v>
      </c>
      <c r="J13" t="n">
        <v>422000</v>
      </c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>
        <is>
          <t>EUR</t>
        </is>
      </c>
    </row>
    <row r="14">
      <c r="A14" t="inlineStr">
        <is>
          <t>AXA</t>
        </is>
      </c>
      <c r="B14" t="n">
        <v>2021</v>
      </c>
      <c r="C14" t="inlineStr">
        <is>
          <t>Business and Financial Services</t>
        </is>
      </c>
      <c r="D14" t="inlineStr">
        <is>
          <t>FRA</t>
        </is>
      </c>
      <c r="E14" t="inlineStr">
        <is>
          <t>France</t>
        </is>
      </c>
      <c r="F14" t="inlineStr">
        <is>
          <t>DEU</t>
        </is>
      </c>
      <c r="G14" t="inlineStr">
        <is>
          <t>Germany</t>
        </is>
      </c>
      <c r="H14" t="n">
        <v>12824479000</v>
      </c>
      <c r="I14" t="n">
        <v>1064479000</v>
      </c>
      <c r="J14" t="n">
        <v>223338000</v>
      </c>
      <c r="K14" t="n">
        <v>9421</v>
      </c>
      <c r="L14" t="n">
        <v>377229000</v>
      </c>
      <c r="M14" t="n">
        <v>238612000</v>
      </c>
      <c r="N14" t="n">
        <v>12439250000</v>
      </c>
      <c r="O14" t="n">
        <v>385229000</v>
      </c>
      <c r="P14" t="n">
        <v>494996000</v>
      </c>
      <c r="Q14" t="n">
        <v>2651074000</v>
      </c>
      <c r="R14" t="inlineStr">
        <is>
          <t>EUR</t>
        </is>
      </c>
    </row>
    <row r="15">
      <c r="A15" t="inlineStr">
        <is>
          <t>BONAVA</t>
        </is>
      </c>
      <c r="B15" t="n">
        <v>2019</v>
      </c>
      <c r="C15" t="inlineStr">
        <is>
          <t>Construction</t>
        </is>
      </c>
      <c r="D15" t="inlineStr">
        <is>
          <t>SWE</t>
        </is>
      </c>
      <c r="E15" t="inlineStr">
        <is>
          <t>Sweden</t>
        </is>
      </c>
      <c r="F15" t="inlineStr">
        <is>
          <t>DEU</t>
        </is>
      </c>
      <c r="G15" t="inlineStr">
        <is>
          <t>Germany</t>
        </is>
      </c>
      <c r="H15" t="n">
        <v>884116686.026197</v>
      </c>
      <c r="I15" t="n">
        <v>55434361.749346</v>
      </c>
      <c r="J15" t="n">
        <v>22759252.4388286</v>
      </c>
      <c r="K15" t="inlineStr"/>
      <c r="L15" t="n">
        <v>790624321.235988</v>
      </c>
      <c r="M15" t="n">
        <v>9538109.94324352</v>
      </c>
      <c r="N15" t="n">
        <v>604489522.244572</v>
      </c>
      <c r="O15" t="n">
        <v>279627163.781624</v>
      </c>
      <c r="P15" t="inlineStr"/>
      <c r="Q15" t="inlineStr"/>
      <c r="R15" t="inlineStr">
        <is>
          <t>EUR</t>
        </is>
      </c>
    </row>
    <row r="16">
      <c r="A16" t="inlineStr">
        <is>
          <t>BONAVA</t>
        </is>
      </c>
      <c r="B16" t="n">
        <v>2020</v>
      </c>
      <c r="C16" t="inlineStr">
        <is>
          <t>Construction</t>
        </is>
      </c>
      <c r="D16" t="inlineStr">
        <is>
          <t>SWE</t>
        </is>
      </c>
      <c r="E16" t="inlineStr">
        <is>
          <t>Sweden</t>
        </is>
      </c>
      <c r="F16" t="inlineStr">
        <is>
          <t>DEU</t>
        </is>
      </c>
      <c r="G16" t="inlineStr">
        <is>
          <t>Germany</t>
        </is>
      </c>
      <c r="H16" t="n">
        <v>1144800091.56112</v>
      </c>
      <c r="I16" t="n">
        <v>68861590.1113994</v>
      </c>
      <c r="J16" t="n">
        <v>9251487.868151991</v>
      </c>
      <c r="K16" t="inlineStr"/>
      <c r="L16" t="n">
        <v>920189226.308561</v>
      </c>
      <c r="M16" t="n">
        <v>14687929.1927362</v>
      </c>
      <c r="N16" t="n">
        <v>732488936.365024</v>
      </c>
      <c r="O16" t="n">
        <v>412311155.196093</v>
      </c>
      <c r="P16" t="inlineStr"/>
      <c r="Q16" t="inlineStr"/>
      <c r="R16" t="inlineStr">
        <is>
          <t>EUR</t>
        </is>
      </c>
    </row>
    <row r="17">
      <c r="A17" t="inlineStr">
        <is>
          <t>BP</t>
        </is>
      </c>
      <c r="B17" t="n">
        <v>2019</v>
      </c>
      <c r="C17" t="inlineStr">
        <is>
          <t>Oil, Gas and Mining</t>
        </is>
      </c>
      <c r="D17" t="inlineStr">
        <is>
          <t>GBR</t>
        </is>
      </c>
      <c r="E17" t="inlineStr">
        <is>
          <t>United Kingdom</t>
        </is>
      </c>
      <c r="F17" t="inlineStr">
        <is>
          <t>DEU</t>
        </is>
      </c>
      <c r="G17" t="inlineStr">
        <is>
          <t>Germany</t>
        </is>
      </c>
      <c r="H17" t="n">
        <v>24558629614.1134</v>
      </c>
      <c r="I17" t="n">
        <v>116393742.742296</v>
      </c>
      <c r="J17" t="n">
        <v>-69281091.5587316</v>
      </c>
      <c r="K17" t="n">
        <v>4676</v>
      </c>
      <c r="L17" t="n">
        <v>4202949057.61501</v>
      </c>
      <c r="M17" t="n">
        <v>11301734.7029924</v>
      </c>
      <c r="N17" t="n">
        <v>17486716834.301</v>
      </c>
      <c r="O17" t="n">
        <v>7071912779.81242</v>
      </c>
      <c r="P17" t="n">
        <v>2167941436.35552</v>
      </c>
      <c r="Q17" t="n">
        <v>1050696567.21751</v>
      </c>
      <c r="R17" t="inlineStr">
        <is>
          <t>EUR</t>
        </is>
      </c>
    </row>
    <row r="18">
      <c r="A18" t="inlineStr">
        <is>
          <t>BP</t>
        </is>
      </c>
      <c r="B18" t="n">
        <v>2020</v>
      </c>
      <c r="C18" t="inlineStr">
        <is>
          <t>Oil, Gas and Mining</t>
        </is>
      </c>
      <c r="D18" t="inlineStr">
        <is>
          <t>GBR</t>
        </is>
      </c>
      <c r="E18" t="inlineStr">
        <is>
          <t>United Kingdom</t>
        </is>
      </c>
      <c r="F18" t="inlineStr">
        <is>
          <t>DEU</t>
        </is>
      </c>
      <c r="G18" t="inlineStr">
        <is>
          <t>Germany</t>
        </is>
      </c>
      <c r="H18" t="n">
        <v>16125609423.9188</v>
      </c>
      <c r="I18" t="n">
        <v>-726957482.927683</v>
      </c>
      <c r="J18" t="n">
        <v>-89394368.7620382</v>
      </c>
      <c r="K18" t="n">
        <v>4669</v>
      </c>
      <c r="L18" t="n">
        <v>4801201513.7454</v>
      </c>
      <c r="M18" t="n">
        <v>-1238072.14148135</v>
      </c>
      <c r="N18" t="n">
        <v>11367099191.0348</v>
      </c>
      <c r="O18" t="n">
        <v>4758510232.88391</v>
      </c>
      <c r="P18" t="n">
        <v>6494478377.69217</v>
      </c>
      <c r="Q18" t="n">
        <v>750268400.4552619</v>
      </c>
      <c r="R18" t="inlineStr">
        <is>
          <t>EUR</t>
        </is>
      </c>
    </row>
    <row r="19">
      <c r="A19" t="inlineStr">
        <is>
          <t>BP</t>
        </is>
      </c>
      <c r="B19" t="n">
        <v>2021</v>
      </c>
      <c r="C19" t="inlineStr">
        <is>
          <t>Oil, Gas and Mining</t>
        </is>
      </c>
      <c r="D19" t="inlineStr">
        <is>
          <t>GBR</t>
        </is>
      </c>
      <c r="E19" t="inlineStr">
        <is>
          <t>United Kingdom</t>
        </is>
      </c>
      <c r="F19" t="inlineStr">
        <is>
          <t>DEU</t>
        </is>
      </c>
      <c r="G19" t="inlineStr">
        <is>
          <t>Germany</t>
        </is>
      </c>
      <c r="H19" t="n">
        <v>24741434039.0632</v>
      </c>
      <c r="I19" t="n">
        <v>-45131324.934472</v>
      </c>
      <c r="J19" t="n">
        <v>13085856.0919929</v>
      </c>
      <c r="K19" t="n">
        <v>4582</v>
      </c>
      <c r="L19" t="n">
        <v>4456078002.02925</v>
      </c>
      <c r="M19" t="n">
        <v>23315779.1494039</v>
      </c>
      <c r="N19" t="n">
        <v>17616941169.3582</v>
      </c>
      <c r="O19" t="n">
        <v>7124492869.70491</v>
      </c>
      <c r="P19" t="n">
        <v>5676579028.49412</v>
      </c>
      <c r="Q19" t="n">
        <v>1170737732.30743</v>
      </c>
      <c r="R19" t="inlineStr">
        <is>
          <t>EUR</t>
        </is>
      </c>
    </row>
    <row r="20">
      <c r="A20" t="inlineStr">
        <is>
          <t>BUZZI UNICEM</t>
        </is>
      </c>
      <c r="B20" t="n">
        <v>2019</v>
      </c>
      <c r="C20" t="inlineStr">
        <is>
          <t>Metals and Cement</t>
        </is>
      </c>
      <c r="D20" t="inlineStr">
        <is>
          <t>ITA</t>
        </is>
      </c>
      <c r="E20" t="inlineStr">
        <is>
          <t>Italy</t>
        </is>
      </c>
      <c r="F20" t="inlineStr">
        <is>
          <t>DEU</t>
        </is>
      </c>
      <c r="G20" t="inlineStr">
        <is>
          <t>Germany</t>
        </is>
      </c>
      <c r="H20" t="n">
        <v>799701663</v>
      </c>
      <c r="I20" t="n">
        <v>-155978107</v>
      </c>
      <c r="J20" t="n">
        <v>4777367</v>
      </c>
      <c r="K20" t="n">
        <v>1791</v>
      </c>
      <c r="L20" t="n">
        <v>400621552</v>
      </c>
      <c r="M20" t="n">
        <v>19859959</v>
      </c>
      <c r="N20" t="n">
        <v>669220751</v>
      </c>
      <c r="O20" t="n">
        <v>130480912</v>
      </c>
      <c r="P20" t="n">
        <v>138180999</v>
      </c>
      <c r="Q20" t="n">
        <v>-150134412</v>
      </c>
      <c r="R20" t="inlineStr">
        <is>
          <t>EUR</t>
        </is>
      </c>
    </row>
    <row r="21">
      <c r="A21" t="inlineStr">
        <is>
          <t>BUZZI UNICEM</t>
        </is>
      </c>
      <c r="B21" t="n">
        <v>2020</v>
      </c>
      <c r="C21" t="inlineStr">
        <is>
          <t>Metals and Cement</t>
        </is>
      </c>
      <c r="D21" t="inlineStr">
        <is>
          <t>ITA</t>
        </is>
      </c>
      <c r="E21" t="inlineStr">
        <is>
          <t>Italy</t>
        </is>
      </c>
      <c r="F21" t="inlineStr">
        <is>
          <t>DEU</t>
        </is>
      </c>
      <c r="G21" t="inlineStr">
        <is>
          <t>Germany</t>
        </is>
      </c>
      <c r="H21" t="n">
        <v>893598865</v>
      </c>
      <c r="I21" t="n">
        <v>282228120</v>
      </c>
      <c r="J21" t="n">
        <v>9846088</v>
      </c>
      <c r="K21" t="n">
        <v>1778</v>
      </c>
      <c r="L21" t="n">
        <v>410355777</v>
      </c>
      <c r="M21" t="n">
        <v>16550095</v>
      </c>
      <c r="N21" t="n">
        <v>752949260</v>
      </c>
      <c r="O21" t="n">
        <v>140649605</v>
      </c>
      <c r="P21" t="n">
        <v>140150012</v>
      </c>
      <c r="Q21" t="n">
        <v>143428997</v>
      </c>
      <c r="R21" t="inlineStr">
        <is>
          <t>EUR</t>
        </is>
      </c>
    </row>
    <row r="22">
      <c r="A22" t="inlineStr">
        <is>
          <t>BUZZI UNICEM</t>
        </is>
      </c>
      <c r="B22" t="n">
        <v>2021</v>
      </c>
      <c r="C22" t="inlineStr">
        <is>
          <t>Metals and Cement</t>
        </is>
      </c>
      <c r="D22" t="inlineStr">
        <is>
          <t>ITA</t>
        </is>
      </c>
      <c r="E22" t="inlineStr">
        <is>
          <t>Italy</t>
        </is>
      </c>
      <c r="F22" t="inlineStr">
        <is>
          <t>DEU</t>
        </is>
      </c>
      <c r="G22" t="inlineStr">
        <is>
          <t>Germany</t>
        </is>
      </c>
      <c r="H22" t="n">
        <v>864577406</v>
      </c>
      <c r="I22" t="n">
        <v>212596255</v>
      </c>
      <c r="J22" t="n">
        <v>33070034</v>
      </c>
      <c r="K22" t="n">
        <v>1770</v>
      </c>
      <c r="L22" t="n">
        <v>416678258</v>
      </c>
      <c r="M22" t="n">
        <v>24887443</v>
      </c>
      <c r="N22" t="n">
        <v>747231640</v>
      </c>
      <c r="O22" t="n">
        <v>117345766</v>
      </c>
      <c r="P22" t="n">
        <v>133655862</v>
      </c>
      <c r="Q22" t="n">
        <v>143699952</v>
      </c>
      <c r="R22" t="inlineStr">
        <is>
          <t>EUR</t>
        </is>
      </c>
    </row>
    <row r="23">
      <c r="A23" t="inlineStr">
        <is>
          <t>CEMBRE</t>
        </is>
      </c>
      <c r="B23" t="n">
        <v>2020</v>
      </c>
      <c r="C23" t="inlineStr">
        <is>
          <t>Industrial, Electric and Electronic Machinery</t>
        </is>
      </c>
      <c r="D23" t="inlineStr">
        <is>
          <t>ITA</t>
        </is>
      </c>
      <c r="E23" t="inlineStr">
        <is>
          <t>Italy</t>
        </is>
      </c>
      <c r="F23" t="inlineStr">
        <is>
          <t>DEU</t>
        </is>
      </c>
      <c r="G23" t="inlineStr">
        <is>
          <t>Germany</t>
        </is>
      </c>
      <c r="H23" t="n">
        <v>15662000</v>
      </c>
      <c r="I23" t="n">
        <v>380000</v>
      </c>
      <c r="J23" t="n">
        <v>155000</v>
      </c>
      <c r="K23" t="n">
        <v>58</v>
      </c>
      <c r="L23" t="n">
        <v>2822000</v>
      </c>
      <c r="M23" t="n">
        <v>8000</v>
      </c>
      <c r="N23" t="n">
        <v>15587000</v>
      </c>
      <c r="O23" t="n">
        <v>75000</v>
      </c>
      <c r="P23" t="inlineStr"/>
      <c r="Q23" t="inlineStr"/>
      <c r="R23" t="inlineStr">
        <is>
          <t>EUR</t>
        </is>
      </c>
    </row>
    <row r="24">
      <c r="A24" t="inlineStr">
        <is>
          <t>CEMBRE</t>
        </is>
      </c>
      <c r="B24" t="n">
        <v>2021</v>
      </c>
      <c r="C24" t="inlineStr">
        <is>
          <t>Industrial, Electric and Electronic Machinery</t>
        </is>
      </c>
      <c r="D24" t="inlineStr">
        <is>
          <t>ITA</t>
        </is>
      </c>
      <c r="E24" t="inlineStr">
        <is>
          <t>Italy</t>
        </is>
      </c>
      <c r="F24" t="inlineStr">
        <is>
          <t>DEU</t>
        </is>
      </c>
      <c r="G24" t="inlineStr">
        <is>
          <t>Germany</t>
        </is>
      </c>
      <c r="H24" t="n">
        <v>19003000</v>
      </c>
      <c r="I24" t="n">
        <v>1554000</v>
      </c>
      <c r="J24" t="n">
        <v>82000</v>
      </c>
      <c r="K24" t="n">
        <v>56</v>
      </c>
      <c r="L24" t="n">
        <v>2736000</v>
      </c>
      <c r="M24" t="n">
        <v>208000</v>
      </c>
      <c r="N24" t="n">
        <v>18875000</v>
      </c>
      <c r="O24" t="n">
        <v>128000</v>
      </c>
      <c r="P24" t="inlineStr"/>
      <c r="Q24" t="inlineStr"/>
      <c r="R24" t="inlineStr">
        <is>
          <t>EUR</t>
        </is>
      </c>
    </row>
    <row r="25">
      <c r="A25" t="inlineStr">
        <is>
          <t>COLOPLAST</t>
        </is>
      </c>
      <c r="B25" t="n">
        <v>2021</v>
      </c>
      <c r="C25" t="inlineStr">
        <is>
          <t>Industrial, Electric and Electronic Machinery</t>
        </is>
      </c>
      <c r="D25" t="inlineStr">
        <is>
          <t>DNK</t>
        </is>
      </c>
      <c r="E25" t="inlineStr">
        <is>
          <t>Denmark</t>
        </is>
      </c>
      <c r="F25" t="inlineStr">
        <is>
          <t>DEU</t>
        </is>
      </c>
      <c r="G25" t="inlineStr">
        <is>
          <t>Germany</t>
        </is>
      </c>
      <c r="H25" t="n">
        <v>256964098.426785</v>
      </c>
      <c r="I25" t="n">
        <v>17716283.4476267</v>
      </c>
      <c r="J25" t="n">
        <v>4344224.82183676</v>
      </c>
      <c r="K25" t="n">
        <v>639</v>
      </c>
      <c r="L25" t="inlineStr"/>
      <c r="M25" t="n">
        <v>5904128.00860562</v>
      </c>
      <c r="N25" t="inlineStr"/>
      <c r="O25" t="inlineStr"/>
      <c r="P25" t="inlineStr"/>
      <c r="Q25" t="n">
        <v>23166733.8980772</v>
      </c>
      <c r="R25" t="inlineStr">
        <is>
          <t>EUR</t>
        </is>
      </c>
    </row>
    <row r="26">
      <c r="A26" t="inlineStr">
        <is>
          <t>CYIENT</t>
        </is>
      </c>
      <c r="B26" t="n">
        <v>2021</v>
      </c>
      <c r="C26" t="inlineStr">
        <is>
          <t>Business and Financial Services</t>
        </is>
      </c>
      <c r="D26" t="inlineStr">
        <is>
          <t>IND</t>
        </is>
      </c>
      <c r="E26" t="inlineStr">
        <is>
          <t>India</t>
        </is>
      </c>
      <c r="F26" t="inlineStr">
        <is>
          <t>DEU</t>
        </is>
      </c>
      <c r="G26" t="inlineStr">
        <is>
          <t>Germany</t>
        </is>
      </c>
      <c r="H26" t="n">
        <v>16125490.6266297</v>
      </c>
      <c r="I26" t="n">
        <v>686191.090494881</v>
      </c>
      <c r="J26" t="n">
        <v>205857.327148464</v>
      </c>
      <c r="K26" t="n">
        <v>57</v>
      </c>
      <c r="L26" t="n">
        <v>2538907.03483106</v>
      </c>
      <c r="M26" t="n">
        <v>228730.363498294</v>
      </c>
      <c r="N26" t="n">
        <v>11356462.5476903</v>
      </c>
      <c r="O26" t="n">
        <v>4769028.07893942</v>
      </c>
      <c r="P26" t="n">
        <v>583262.426920649</v>
      </c>
      <c r="Q26" t="n">
        <v>17028975.562448</v>
      </c>
      <c r="R26" t="inlineStr">
        <is>
          <t>EUR</t>
        </is>
      </c>
    </row>
    <row r="27">
      <c r="A27" t="inlineStr">
        <is>
          <t>DIASORIN</t>
        </is>
      </c>
      <c r="B27" t="n">
        <v>2020</v>
      </c>
      <c r="C27" t="inlineStr">
        <is>
          <t>Biomedical</t>
        </is>
      </c>
      <c r="D27" t="inlineStr">
        <is>
          <t>ITA</t>
        </is>
      </c>
      <c r="E27" t="inlineStr">
        <is>
          <t>Italy</t>
        </is>
      </c>
      <c r="F27" t="inlineStr">
        <is>
          <t>DEU</t>
        </is>
      </c>
      <c r="G27" t="inlineStr">
        <is>
          <t>Germany</t>
        </is>
      </c>
      <c r="H27" t="n">
        <v>79555000</v>
      </c>
      <c r="I27" t="n">
        <v>4912000</v>
      </c>
      <c r="J27" t="n">
        <v>-1213000</v>
      </c>
      <c r="K27" t="n">
        <v>174</v>
      </c>
      <c r="L27" t="n">
        <v>19708000</v>
      </c>
      <c r="M27" t="n">
        <v>1500000</v>
      </c>
      <c r="N27" t="n">
        <v>61811000</v>
      </c>
      <c r="O27" t="n">
        <v>17744000</v>
      </c>
      <c r="P27" t="inlineStr"/>
      <c r="Q27" t="inlineStr"/>
      <c r="R27" t="inlineStr">
        <is>
          <t>EUR</t>
        </is>
      </c>
    </row>
    <row r="28">
      <c r="A28" t="inlineStr">
        <is>
          <t>DIASORIN</t>
        </is>
      </c>
      <c r="B28" t="n">
        <v>2021</v>
      </c>
      <c r="C28" t="inlineStr">
        <is>
          <t>Biomedical</t>
        </is>
      </c>
      <c r="D28" t="inlineStr">
        <is>
          <t>ITA</t>
        </is>
      </c>
      <c r="E28" t="inlineStr">
        <is>
          <t>Italy</t>
        </is>
      </c>
      <c r="F28" t="inlineStr">
        <is>
          <t>DEU</t>
        </is>
      </c>
      <c r="G28" t="inlineStr">
        <is>
          <t>Germany</t>
        </is>
      </c>
      <c r="H28" t="n">
        <v>85246000</v>
      </c>
      <c r="I28" t="n">
        <v>4402000</v>
      </c>
      <c r="J28" t="n">
        <v>949000</v>
      </c>
      <c r="K28" t="n">
        <v>187</v>
      </c>
      <c r="L28" t="n">
        <v>18152000</v>
      </c>
      <c r="M28" t="n">
        <v>1296000</v>
      </c>
      <c r="N28" t="n">
        <v>62725000</v>
      </c>
      <c r="O28" t="n">
        <v>22521000</v>
      </c>
      <c r="P28" t="inlineStr"/>
      <c r="Q28" t="inlineStr"/>
      <c r="R28" t="inlineStr">
        <is>
          <t>EUR</t>
        </is>
      </c>
    </row>
    <row r="29">
      <c r="A29" t="inlineStr">
        <is>
          <t>EISAI</t>
        </is>
      </c>
      <c r="B29" t="n">
        <v>2019</v>
      </c>
      <c r="C29" t="inlineStr">
        <is>
          <t>Biomedical</t>
        </is>
      </c>
      <c r="D29" t="inlineStr">
        <is>
          <t>JPN</t>
        </is>
      </c>
      <c r="E29" t="inlineStr">
        <is>
          <t>Japan</t>
        </is>
      </c>
      <c r="F29" t="inlineStr">
        <is>
          <t>DEU</t>
        </is>
      </c>
      <c r="G29" t="inlineStr">
        <is>
          <t>Germany</t>
        </is>
      </c>
      <c r="H29" t="n">
        <v>66822391.6072453</v>
      </c>
      <c r="I29" t="n">
        <v>6753544.79141054</v>
      </c>
      <c r="J29" t="n">
        <v>1335956.06917466</v>
      </c>
      <c r="K29" t="n">
        <v>117</v>
      </c>
      <c r="L29" t="inlineStr"/>
      <c r="M29" t="n">
        <v>1999836.07900992</v>
      </c>
      <c r="N29" t="inlineStr"/>
      <c r="O29" t="inlineStr"/>
      <c r="P29" t="inlineStr"/>
      <c r="Q29" t="inlineStr"/>
      <c r="R29" t="inlineStr">
        <is>
          <t>EUR</t>
        </is>
      </c>
    </row>
    <row r="30">
      <c r="A30" t="inlineStr">
        <is>
          <t>EISAI</t>
        </is>
      </c>
      <c r="B30" t="n">
        <v>2020</v>
      </c>
      <c r="C30" t="inlineStr">
        <is>
          <t>Biomedical</t>
        </is>
      </c>
      <c r="D30" t="inlineStr">
        <is>
          <t>JPN</t>
        </is>
      </c>
      <c r="E30" t="inlineStr">
        <is>
          <t>Japan</t>
        </is>
      </c>
      <c r="F30" t="inlineStr">
        <is>
          <t>DEU</t>
        </is>
      </c>
      <c r="G30" t="inlineStr">
        <is>
          <t>Germany</t>
        </is>
      </c>
      <c r="H30" t="n">
        <v>67345096.4300369</v>
      </c>
      <c r="I30" t="n">
        <v>6622897.00451375</v>
      </c>
      <c r="J30" t="n">
        <v>2232252.76979893</v>
      </c>
      <c r="K30" t="n">
        <v>117</v>
      </c>
      <c r="L30" t="inlineStr"/>
      <c r="M30" t="n">
        <v>2322527.69798933</v>
      </c>
      <c r="N30" t="inlineStr"/>
      <c r="O30" t="inlineStr"/>
      <c r="P30" t="inlineStr"/>
      <c r="Q30" t="inlineStr"/>
      <c r="R30" t="inlineStr">
        <is>
          <t>EUR</t>
        </is>
      </c>
    </row>
    <row r="31">
      <c r="A31" t="inlineStr">
        <is>
          <t>EISAI</t>
        </is>
      </c>
      <c r="B31" t="n">
        <v>2021</v>
      </c>
      <c r="C31" t="inlineStr">
        <is>
          <t>Biomedical</t>
        </is>
      </c>
      <c r="D31" t="inlineStr">
        <is>
          <t>JPN</t>
        </is>
      </c>
      <c r="E31" t="inlineStr">
        <is>
          <t>Japan</t>
        </is>
      </c>
      <c r="F31" t="inlineStr">
        <is>
          <t>DEU</t>
        </is>
      </c>
      <c r="G31" t="inlineStr">
        <is>
          <t>Germany</t>
        </is>
      </c>
      <c r="H31" t="n">
        <v>68694179.24237759</v>
      </c>
      <c r="I31" t="n">
        <v>3895903.91130274</v>
      </c>
      <c r="J31" t="n">
        <v>-192485.371111796</v>
      </c>
      <c r="K31" t="n">
        <v>98</v>
      </c>
      <c r="L31" t="inlineStr"/>
      <c r="M31" t="n">
        <v>1416692.33138282</v>
      </c>
      <c r="N31" t="inlineStr"/>
      <c r="O31" t="inlineStr"/>
      <c r="P31" t="inlineStr"/>
      <c r="Q31" t="inlineStr"/>
      <c r="R31" t="inlineStr">
        <is>
          <t>EUR</t>
        </is>
      </c>
    </row>
    <row r="32">
      <c r="A32" t="inlineStr">
        <is>
          <t>ENDESA</t>
        </is>
      </c>
      <c r="B32" t="n">
        <v>2021</v>
      </c>
      <c r="C32" t="inlineStr">
        <is>
          <t>Utilities</t>
        </is>
      </c>
      <c r="D32" t="inlineStr">
        <is>
          <t>ESP</t>
        </is>
      </c>
      <c r="E32" t="inlineStr">
        <is>
          <t>Spain</t>
        </is>
      </c>
      <c r="F32" t="inlineStr">
        <is>
          <t>DEU</t>
        </is>
      </c>
      <c r="G32" t="inlineStr">
        <is>
          <t>Germany</t>
        </is>
      </c>
      <c r="H32" t="n">
        <v>337000000</v>
      </c>
      <c r="I32" t="n">
        <v>-19000000</v>
      </c>
      <c r="J32" t="n">
        <v>1000000</v>
      </c>
      <c r="K32" t="n">
        <v>8</v>
      </c>
      <c r="L32" t="inlineStr"/>
      <c r="M32" t="n">
        <v>-4000000</v>
      </c>
      <c r="N32" t="inlineStr"/>
      <c r="O32" t="inlineStr"/>
      <c r="P32" t="inlineStr"/>
      <c r="Q32" t="n">
        <v>2000000</v>
      </c>
      <c r="R32" t="inlineStr">
        <is>
          <t>EUR</t>
        </is>
      </c>
    </row>
    <row r="33">
      <c r="A33" t="inlineStr">
        <is>
          <t>ENEL</t>
        </is>
      </c>
      <c r="B33" t="n">
        <v>2020</v>
      </c>
      <c r="C33" t="inlineStr">
        <is>
          <t>Utilities</t>
        </is>
      </c>
      <c r="D33" t="inlineStr">
        <is>
          <t>ITA</t>
        </is>
      </c>
      <c r="E33" t="inlineStr">
        <is>
          <t>Italy</t>
        </is>
      </c>
      <c r="F33" t="inlineStr">
        <is>
          <t>DEU</t>
        </is>
      </c>
      <c r="G33" t="inlineStr">
        <is>
          <t>Germany</t>
        </is>
      </c>
      <c r="H33" t="n">
        <v>260300000</v>
      </c>
      <c r="I33" t="n">
        <v>19900000</v>
      </c>
      <c r="J33" t="n">
        <v>300000</v>
      </c>
      <c r="K33" t="n">
        <v>23</v>
      </c>
      <c r="L33" t="n">
        <v>700000</v>
      </c>
      <c r="M33" t="n">
        <v>900000</v>
      </c>
      <c r="N33" t="n">
        <v>223200000</v>
      </c>
      <c r="O33" t="n">
        <v>37100000</v>
      </c>
      <c r="P33" t="inlineStr"/>
      <c r="Q33" t="inlineStr"/>
      <c r="R33" t="inlineStr">
        <is>
          <t>EUR</t>
        </is>
      </c>
    </row>
    <row r="34">
      <c r="A34" t="inlineStr">
        <is>
          <t>ENEL</t>
        </is>
      </c>
      <c r="B34" t="n">
        <v>2021</v>
      </c>
      <c r="C34" t="inlineStr">
        <is>
          <t>Utilities</t>
        </is>
      </c>
      <c r="D34" t="inlineStr">
        <is>
          <t>ITA</t>
        </is>
      </c>
      <c r="E34" t="inlineStr">
        <is>
          <t>Italy</t>
        </is>
      </c>
      <c r="F34" t="inlineStr">
        <is>
          <t>DEU</t>
        </is>
      </c>
      <c r="G34" t="inlineStr">
        <is>
          <t>Germany</t>
        </is>
      </c>
      <c r="H34" t="n">
        <v>341900000</v>
      </c>
      <c r="I34" t="n">
        <v>-31700000</v>
      </c>
      <c r="J34" t="n">
        <v>600000</v>
      </c>
      <c r="K34" t="n">
        <v>22</v>
      </c>
      <c r="L34" t="n">
        <v>9600000</v>
      </c>
      <c r="M34" t="n">
        <v>300000</v>
      </c>
      <c r="N34" t="n">
        <v>259900000</v>
      </c>
      <c r="O34" t="n">
        <v>82000000</v>
      </c>
      <c r="P34" t="n">
        <v>19400000</v>
      </c>
      <c r="Q34" t="n">
        <v>-9200000</v>
      </c>
      <c r="R34" t="inlineStr">
        <is>
          <t>EUR</t>
        </is>
      </c>
    </row>
    <row r="35">
      <c r="A35" t="inlineStr">
        <is>
          <t>ENI</t>
        </is>
      </c>
      <c r="B35" t="n">
        <v>2017</v>
      </c>
      <c r="C35" t="inlineStr">
        <is>
          <t>Oil, Gas and Mining</t>
        </is>
      </c>
      <c r="D35" t="inlineStr">
        <is>
          <t>ITA</t>
        </is>
      </c>
      <c r="E35" t="inlineStr">
        <is>
          <t>Italy</t>
        </is>
      </c>
      <c r="F35" t="inlineStr">
        <is>
          <t>DEU</t>
        </is>
      </c>
      <c r="G35" t="inlineStr">
        <is>
          <t>Germany</t>
        </is>
      </c>
      <c r="H35" t="n">
        <v>4581842000</v>
      </c>
      <c r="I35" t="n">
        <v>109645000</v>
      </c>
      <c r="J35" t="n">
        <v>31557000</v>
      </c>
      <c r="K35" t="n">
        <v>552</v>
      </c>
      <c r="L35" t="n">
        <v>363912000</v>
      </c>
      <c r="M35" t="n">
        <v>34410000</v>
      </c>
      <c r="N35" t="n">
        <v>4121390000</v>
      </c>
      <c r="O35" t="n">
        <v>460452000</v>
      </c>
      <c r="P35" t="n">
        <v>94145000</v>
      </c>
      <c r="Q35" t="n">
        <v>74923000</v>
      </c>
      <c r="R35" t="inlineStr">
        <is>
          <t>EUR</t>
        </is>
      </c>
    </row>
    <row r="36">
      <c r="A36" t="inlineStr">
        <is>
          <t>ENI</t>
        </is>
      </c>
      <c r="B36" t="n">
        <v>2018</v>
      </c>
      <c r="C36" t="inlineStr">
        <is>
          <t>Oil, Gas and Mining</t>
        </is>
      </c>
      <c r="D36" t="inlineStr">
        <is>
          <t>ITA</t>
        </is>
      </c>
      <c r="E36" t="inlineStr">
        <is>
          <t>Italy</t>
        </is>
      </c>
      <c r="F36" t="inlineStr">
        <is>
          <t>DEU</t>
        </is>
      </c>
      <c r="G36" t="inlineStr">
        <is>
          <t>Germany</t>
        </is>
      </c>
      <c r="H36" t="n">
        <v>2716743000</v>
      </c>
      <c r="I36" t="n">
        <v>119618000</v>
      </c>
      <c r="J36" t="n">
        <v>48300000</v>
      </c>
      <c r="K36" t="n">
        <v>537</v>
      </c>
      <c r="L36" t="n">
        <v>375949000</v>
      </c>
      <c r="M36" t="n">
        <v>40798000</v>
      </c>
      <c r="N36" t="n">
        <v>2445724000</v>
      </c>
      <c r="O36" t="n">
        <v>271019000</v>
      </c>
      <c r="P36" t="n">
        <v>94145000</v>
      </c>
      <c r="Q36" t="n">
        <v>78231000</v>
      </c>
      <c r="R36" t="inlineStr">
        <is>
          <t>EUR</t>
        </is>
      </c>
    </row>
    <row r="37">
      <c r="A37" t="inlineStr">
        <is>
          <t>ENI</t>
        </is>
      </c>
      <c r="B37" t="n">
        <v>2019</v>
      </c>
      <c r="C37" t="inlineStr">
        <is>
          <t>Oil, Gas and Mining</t>
        </is>
      </c>
      <c r="D37" t="inlineStr">
        <is>
          <t>ITA</t>
        </is>
      </c>
      <c r="E37" t="inlineStr">
        <is>
          <t>Italy</t>
        </is>
      </c>
      <c r="F37" t="inlineStr">
        <is>
          <t>DEU</t>
        </is>
      </c>
      <c r="G37" t="inlineStr">
        <is>
          <t>Germany</t>
        </is>
      </c>
      <c r="H37" t="n">
        <v>2134506000</v>
      </c>
      <c r="I37" t="n">
        <v>58052000</v>
      </c>
      <c r="J37" t="n">
        <v>37876000</v>
      </c>
      <c r="K37" t="n">
        <v>534</v>
      </c>
      <c r="L37" t="n">
        <v>389328000</v>
      </c>
      <c r="M37" t="n">
        <v>19811000</v>
      </c>
      <c r="N37" t="n">
        <v>1867861000</v>
      </c>
      <c r="O37" t="n">
        <v>266645000</v>
      </c>
      <c r="P37" t="n">
        <v>94145000</v>
      </c>
      <c r="Q37" t="n">
        <v>45583000</v>
      </c>
      <c r="R37" t="inlineStr">
        <is>
          <t>EUR</t>
        </is>
      </c>
    </row>
    <row r="38">
      <c r="A38" t="inlineStr">
        <is>
          <t>ENI</t>
        </is>
      </c>
      <c r="B38" t="n">
        <v>2020</v>
      </c>
      <c r="C38" t="inlineStr">
        <is>
          <t>Oil, Gas and Mining</t>
        </is>
      </c>
      <c r="D38" t="inlineStr">
        <is>
          <t>ITA</t>
        </is>
      </c>
      <c r="E38" t="inlineStr">
        <is>
          <t>Italy</t>
        </is>
      </c>
      <c r="F38" t="inlineStr">
        <is>
          <t>DEU</t>
        </is>
      </c>
      <c r="G38" t="inlineStr">
        <is>
          <t>Germany</t>
        </is>
      </c>
      <c r="H38" t="n">
        <v>1714444000</v>
      </c>
      <c r="I38" t="n">
        <v>-8524000</v>
      </c>
      <c r="J38" t="n">
        <v>43731000</v>
      </c>
      <c r="K38" t="n">
        <v>531</v>
      </c>
      <c r="L38" t="n">
        <v>350815000</v>
      </c>
      <c r="M38" t="n">
        <v>2056000</v>
      </c>
      <c r="N38" t="n">
        <v>1580074000</v>
      </c>
      <c r="O38" t="n">
        <v>134370000</v>
      </c>
      <c r="P38" t="n">
        <v>94145000</v>
      </c>
      <c r="Q38" t="n">
        <v>-10088000</v>
      </c>
      <c r="R38" t="inlineStr">
        <is>
          <t>EUR</t>
        </is>
      </c>
    </row>
    <row r="39">
      <c r="A39" t="inlineStr">
        <is>
          <t>ENI</t>
        </is>
      </c>
      <c r="B39" t="n">
        <v>2021</v>
      </c>
      <c r="C39" t="inlineStr">
        <is>
          <t>Oil, Gas and Mining</t>
        </is>
      </c>
      <c r="D39" t="inlineStr">
        <is>
          <t>ITA</t>
        </is>
      </c>
      <c r="E39" t="inlineStr">
        <is>
          <t>Italy</t>
        </is>
      </c>
      <c r="F39" t="inlineStr">
        <is>
          <t>DEU</t>
        </is>
      </c>
      <c r="G39" t="inlineStr">
        <is>
          <t>Germany</t>
        </is>
      </c>
      <c r="H39" t="n">
        <v>2337294000</v>
      </c>
      <c r="I39" t="n">
        <v>124526000</v>
      </c>
      <c r="J39" t="n">
        <v>47126000</v>
      </c>
      <c r="K39" t="n">
        <v>517</v>
      </c>
      <c r="L39" t="n">
        <v>468892000</v>
      </c>
      <c r="M39" t="n">
        <v>36436000</v>
      </c>
      <c r="N39" t="n">
        <v>475124000</v>
      </c>
      <c r="O39" t="n">
        <v>1862170000</v>
      </c>
      <c r="P39" t="n">
        <v>241223000</v>
      </c>
      <c r="Q39" t="n">
        <v>-63612000</v>
      </c>
      <c r="R39" t="inlineStr">
        <is>
          <t>EUR</t>
        </is>
      </c>
    </row>
    <row r="40">
      <c r="A40" t="inlineStr">
        <is>
          <t>ERG</t>
        </is>
      </c>
      <c r="B40" t="n">
        <v>2020</v>
      </c>
      <c r="C40" t="inlineStr">
        <is>
          <t>Utilities</t>
        </is>
      </c>
      <c r="D40" t="inlineStr">
        <is>
          <t>ITA</t>
        </is>
      </c>
      <c r="E40" t="inlineStr">
        <is>
          <t>Italy</t>
        </is>
      </c>
      <c r="F40" t="inlineStr">
        <is>
          <t>DEU</t>
        </is>
      </c>
      <c r="G40" t="inlineStr">
        <is>
          <t>Germany</t>
        </is>
      </c>
      <c r="H40" t="inlineStr"/>
      <c r="I40" t="n">
        <v>-13000000</v>
      </c>
      <c r="J40" t="n">
        <v>1100000</v>
      </c>
      <c r="K40" t="n">
        <v>26</v>
      </c>
      <c r="L40" t="n">
        <v>177000000</v>
      </c>
      <c r="M40" t="n">
        <v>-100000</v>
      </c>
      <c r="N40" t="n">
        <v>45000000</v>
      </c>
      <c r="O40" t="inlineStr"/>
      <c r="P40" t="inlineStr"/>
      <c r="Q40" t="inlineStr"/>
      <c r="R40" t="inlineStr">
        <is>
          <t>EUR</t>
        </is>
      </c>
    </row>
    <row r="41">
      <c r="A41" t="inlineStr">
        <is>
          <t>ERG</t>
        </is>
      </c>
      <c r="B41" t="n">
        <v>2021</v>
      </c>
      <c r="C41" t="inlineStr">
        <is>
          <t>Utilities</t>
        </is>
      </c>
      <c r="D41" t="inlineStr">
        <is>
          <t>ITA</t>
        </is>
      </c>
      <c r="E41" t="inlineStr">
        <is>
          <t>Italy</t>
        </is>
      </c>
      <c r="F41" t="inlineStr">
        <is>
          <t>DEU</t>
        </is>
      </c>
      <c r="G41" t="inlineStr">
        <is>
          <t>Germany</t>
        </is>
      </c>
      <c r="H41" t="inlineStr"/>
      <c r="I41" t="n">
        <v>-2000000</v>
      </c>
      <c r="J41" t="n">
        <v>1000000</v>
      </c>
      <c r="K41" t="n">
        <v>37</v>
      </c>
      <c r="L41" t="n">
        <v>252000000</v>
      </c>
      <c r="M41" t="n">
        <v>3000000</v>
      </c>
      <c r="N41" t="n">
        <v>48000000</v>
      </c>
      <c r="O41" t="inlineStr"/>
      <c r="P41" t="inlineStr"/>
      <c r="Q41" t="inlineStr"/>
      <c r="R41" t="inlineStr">
        <is>
          <t>EUR</t>
        </is>
      </c>
    </row>
    <row r="42">
      <c r="A42" t="inlineStr">
        <is>
          <t>ESPRINET</t>
        </is>
      </c>
      <c r="B42" t="n">
        <v>2020</v>
      </c>
      <c r="C42" t="inlineStr">
        <is>
          <t>Business and Financial Services</t>
        </is>
      </c>
      <c r="D42" t="inlineStr">
        <is>
          <t>ITA</t>
        </is>
      </c>
      <c r="E42" t="inlineStr">
        <is>
          <t>Italy</t>
        </is>
      </c>
      <c r="F42" t="inlineStr">
        <is>
          <t>DEU</t>
        </is>
      </c>
      <c r="G42" t="inlineStr">
        <is>
          <t>Germany</t>
        </is>
      </c>
      <c r="H42" t="n">
        <v>-71854</v>
      </c>
      <c r="I42" t="n">
        <v>-39737</v>
      </c>
      <c r="J42" t="n">
        <v>0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-792789</v>
      </c>
      <c r="Q42" t="n">
        <v>0</v>
      </c>
      <c r="R42" t="inlineStr">
        <is>
          <t>EUR</t>
        </is>
      </c>
    </row>
    <row r="43">
      <c r="A43" t="inlineStr">
        <is>
          <t>ESPRINET</t>
        </is>
      </c>
      <c r="B43" t="n">
        <v>2021</v>
      </c>
      <c r="C43" t="inlineStr">
        <is>
          <t>Business and Financial Services</t>
        </is>
      </c>
      <c r="D43" t="inlineStr">
        <is>
          <t>ITA</t>
        </is>
      </c>
      <c r="E43" t="inlineStr">
        <is>
          <t>Italy</t>
        </is>
      </c>
      <c r="F43" t="inlineStr">
        <is>
          <t>DEU</t>
        </is>
      </c>
      <c r="G43" t="inlineStr">
        <is>
          <t>Germany</t>
        </is>
      </c>
      <c r="H43" t="n">
        <v>286825</v>
      </c>
      <c r="I43" t="n">
        <v>12089</v>
      </c>
      <c r="J43" t="n">
        <v>0</v>
      </c>
      <c r="K43" t="n">
        <v>2</v>
      </c>
      <c r="L43" t="n">
        <v>2</v>
      </c>
      <c r="M43" t="n">
        <v>-750</v>
      </c>
      <c r="N43" t="inlineStr"/>
      <c r="O43" t="n">
        <v>305346</v>
      </c>
      <c r="P43" t="n">
        <v>-741932</v>
      </c>
      <c r="Q43" t="n">
        <v>56693</v>
      </c>
      <c r="R43" t="inlineStr">
        <is>
          <t>EUR</t>
        </is>
      </c>
    </row>
    <row r="44">
      <c r="A44" t="inlineStr">
        <is>
          <t>FEDRIGONI</t>
        </is>
      </c>
      <c r="B44" t="n">
        <v>2021</v>
      </c>
      <c r="C44" t="inlineStr">
        <is>
          <t>Unclassified Manufacturing</t>
        </is>
      </c>
      <c r="D44" t="inlineStr">
        <is>
          <t>ITA</t>
        </is>
      </c>
      <c r="E44" t="inlineStr">
        <is>
          <t>Italy</t>
        </is>
      </c>
      <c r="F44" t="inlineStr">
        <is>
          <t>DEU</t>
        </is>
      </c>
      <c r="G44" t="inlineStr">
        <is>
          <t>Germany</t>
        </is>
      </c>
      <c r="H44" t="n">
        <v>33411000</v>
      </c>
      <c r="I44" t="n">
        <v>378000</v>
      </c>
      <c r="J44" t="n">
        <v>82000</v>
      </c>
      <c r="K44" t="n">
        <v>51</v>
      </c>
      <c r="L44" t="n">
        <v>9072000</v>
      </c>
      <c r="M44" t="n">
        <v>255000</v>
      </c>
      <c r="N44" t="n">
        <v>31980000</v>
      </c>
      <c r="O44" t="n">
        <v>1431000</v>
      </c>
      <c r="P44" t="inlineStr"/>
      <c r="Q44" t="inlineStr"/>
      <c r="R44" t="inlineStr">
        <is>
          <t>EUR</t>
        </is>
      </c>
    </row>
    <row r="45">
      <c r="A45" t="inlineStr">
        <is>
          <t>FERALPI</t>
        </is>
      </c>
      <c r="B45" t="n">
        <v>2020</v>
      </c>
      <c r="C45" t="inlineStr">
        <is>
          <t>Metals and Cement</t>
        </is>
      </c>
      <c r="D45" t="inlineStr">
        <is>
          <t>ITA</t>
        </is>
      </c>
      <c r="E45" t="inlineStr">
        <is>
          <t>Italy</t>
        </is>
      </c>
      <c r="F45" t="inlineStr">
        <is>
          <t>DEU</t>
        </is>
      </c>
      <c r="G45" t="inlineStr">
        <is>
          <t>Germany</t>
        </is>
      </c>
      <c r="H45" t="inlineStr"/>
      <c r="I45" t="n">
        <v>35700000</v>
      </c>
      <c r="J45" t="n">
        <v>10900000</v>
      </c>
      <c r="K45" t="n">
        <v>770</v>
      </c>
      <c r="L45" t="n">
        <v>253500000</v>
      </c>
      <c r="M45" t="n">
        <v>10900000</v>
      </c>
      <c r="N45" t="n">
        <v>471000000</v>
      </c>
      <c r="O45" t="inlineStr"/>
      <c r="P45" t="inlineStr"/>
      <c r="Q45" t="inlineStr"/>
      <c r="R45" t="inlineStr">
        <is>
          <t>EUR</t>
        </is>
      </c>
    </row>
    <row r="46">
      <c r="A46" t="inlineStr">
        <is>
          <t>FERALPI</t>
        </is>
      </c>
      <c r="B46" t="n">
        <v>2021</v>
      </c>
      <c r="C46" t="inlineStr">
        <is>
          <t>Metals and Cement</t>
        </is>
      </c>
      <c r="D46" t="inlineStr">
        <is>
          <t>ITA</t>
        </is>
      </c>
      <c r="E46" t="inlineStr">
        <is>
          <t>Italy</t>
        </is>
      </c>
      <c r="F46" t="inlineStr">
        <is>
          <t>DEU</t>
        </is>
      </c>
      <c r="G46" t="inlineStr">
        <is>
          <t>Germany</t>
        </is>
      </c>
      <c r="H46" t="n">
        <v>635500000</v>
      </c>
      <c r="I46" t="n">
        <v>96500000</v>
      </c>
      <c r="J46" t="n">
        <v>8800000</v>
      </c>
      <c r="K46" t="n">
        <v>795</v>
      </c>
      <c r="L46" t="n">
        <v>352400000</v>
      </c>
      <c r="M46" t="n">
        <v>28500000</v>
      </c>
      <c r="N46" t="n">
        <v>599300000</v>
      </c>
      <c r="O46" t="n">
        <v>36200000</v>
      </c>
      <c r="P46" t="inlineStr"/>
      <c r="Q46" t="inlineStr"/>
      <c r="R46" t="inlineStr">
        <is>
          <t>EUR</t>
        </is>
      </c>
    </row>
    <row r="47">
      <c r="A47" t="inlineStr">
        <is>
          <t>FERROVIAL</t>
        </is>
      </c>
      <c r="B47" t="n">
        <v>2019</v>
      </c>
      <c r="C47" t="inlineStr">
        <is>
          <t>Transport, Freight &amp; Storage</t>
        </is>
      </c>
      <c r="D47" t="inlineStr">
        <is>
          <t>ESP</t>
        </is>
      </c>
      <c r="E47" t="inlineStr">
        <is>
          <t>Spain</t>
        </is>
      </c>
      <c r="F47" t="inlineStr">
        <is>
          <t>DEU</t>
        </is>
      </c>
      <c r="G47" t="inlineStr">
        <is>
          <t>Germany</t>
        </is>
      </c>
      <c r="H47" t="n">
        <v>48500000</v>
      </c>
      <c r="I47" t="n">
        <v>5210000</v>
      </c>
      <c r="J47" t="n">
        <v>1240000</v>
      </c>
      <c r="K47" t="n">
        <v>1030</v>
      </c>
      <c r="L47" t="n">
        <v>90000</v>
      </c>
      <c r="M47" t="n">
        <v>1210000</v>
      </c>
      <c r="N47" t="n">
        <v>48500000</v>
      </c>
      <c r="O47" t="n">
        <v>0</v>
      </c>
      <c r="P47" t="inlineStr"/>
      <c r="Q47" t="inlineStr"/>
      <c r="R47" t="inlineStr">
        <is>
          <t>EUR</t>
        </is>
      </c>
    </row>
    <row r="48">
      <c r="A48" t="inlineStr">
        <is>
          <t>FERROVIAL</t>
        </is>
      </c>
      <c r="B48" t="n">
        <v>2020</v>
      </c>
      <c r="C48" t="inlineStr">
        <is>
          <t>Transport, Freight &amp; Storage</t>
        </is>
      </c>
      <c r="D48" t="inlineStr">
        <is>
          <t>ESP</t>
        </is>
      </c>
      <c r="E48" t="inlineStr">
        <is>
          <t>Spain</t>
        </is>
      </c>
      <c r="F48" t="inlineStr">
        <is>
          <t>DEU</t>
        </is>
      </c>
      <c r="G48" t="inlineStr">
        <is>
          <t>Germany</t>
        </is>
      </c>
      <c r="H48" t="n">
        <v>46310000</v>
      </c>
      <c r="I48" t="n">
        <v>5420000</v>
      </c>
      <c r="J48" t="n">
        <v>930000</v>
      </c>
      <c r="K48" t="n">
        <v>872</v>
      </c>
      <c r="L48" t="n">
        <v>70000</v>
      </c>
      <c r="M48" t="n">
        <v>990000</v>
      </c>
      <c r="N48" t="n">
        <v>46310000</v>
      </c>
      <c r="O48" t="n">
        <v>0</v>
      </c>
      <c r="P48" t="inlineStr"/>
      <c r="Q48" t="inlineStr"/>
      <c r="R48" t="inlineStr">
        <is>
          <t>EUR</t>
        </is>
      </c>
    </row>
    <row r="49">
      <c r="A49" t="inlineStr">
        <is>
          <t>FERROVIAL</t>
        </is>
      </c>
      <c r="B49" t="n">
        <v>2021</v>
      </c>
      <c r="C49" t="inlineStr">
        <is>
          <t>Transport, Freight &amp; Storage</t>
        </is>
      </c>
      <c r="D49" t="inlineStr">
        <is>
          <t>ESP</t>
        </is>
      </c>
      <c r="E49" t="inlineStr">
        <is>
          <t>Spain</t>
        </is>
      </c>
      <c r="F49" t="inlineStr">
        <is>
          <t>DEU</t>
        </is>
      </c>
      <c r="G49" t="inlineStr">
        <is>
          <t>Germany</t>
        </is>
      </c>
      <c r="H49" t="n">
        <v>47410000</v>
      </c>
      <c r="I49" t="n">
        <v>6380000</v>
      </c>
      <c r="J49" t="n">
        <v>950000</v>
      </c>
      <c r="K49" t="n">
        <v>917</v>
      </c>
      <c r="L49" t="n">
        <v>50000</v>
      </c>
      <c r="M49" t="n">
        <v>990000</v>
      </c>
      <c r="N49" t="n">
        <v>47410000</v>
      </c>
      <c r="O49" t="n">
        <v>0</v>
      </c>
      <c r="P49" t="inlineStr"/>
      <c r="Q49" t="inlineStr"/>
      <c r="R49" t="inlineStr">
        <is>
          <t>EUR</t>
        </is>
      </c>
    </row>
    <row r="50">
      <c r="A50" t="inlineStr">
        <is>
          <t>FERROVIE DELLO STATO ITALIANE</t>
        </is>
      </c>
      <c r="B50" t="n">
        <v>2018</v>
      </c>
      <c r="C50" t="inlineStr">
        <is>
          <t>Transport, Freight &amp; Storage</t>
        </is>
      </c>
      <c r="D50" t="inlineStr">
        <is>
          <t>ITA</t>
        </is>
      </c>
      <c r="E50" t="inlineStr">
        <is>
          <t>Italy</t>
        </is>
      </c>
      <c r="F50" t="inlineStr">
        <is>
          <t>DEU</t>
        </is>
      </c>
      <c r="G50" t="inlineStr">
        <is>
          <t>Germany</t>
        </is>
      </c>
      <c r="H50" t="n">
        <v>918972155.3</v>
      </c>
      <c r="I50" t="n">
        <v>-13498829.66</v>
      </c>
      <c r="J50" t="n">
        <v>15624755.71</v>
      </c>
      <c r="K50" t="n">
        <v>3114.59</v>
      </c>
      <c r="L50" t="n">
        <v>573482614.91</v>
      </c>
      <c r="M50" t="n">
        <v>6352170.59</v>
      </c>
      <c r="N50" t="n">
        <v>841877194.12</v>
      </c>
      <c r="O50" t="n">
        <v>77094961.18000001</v>
      </c>
      <c r="P50" t="inlineStr"/>
      <c r="Q50" t="inlineStr"/>
      <c r="R50" t="inlineStr">
        <is>
          <t>EUR</t>
        </is>
      </c>
    </row>
    <row r="51">
      <c r="A51" t="inlineStr">
        <is>
          <t>FERROVIE DELLO STATO ITALIANE</t>
        </is>
      </c>
      <c r="B51" t="n">
        <v>2019</v>
      </c>
      <c r="C51" t="inlineStr">
        <is>
          <t>Transport, Freight &amp; Storage</t>
        </is>
      </c>
      <c r="D51" t="inlineStr">
        <is>
          <t>ITA</t>
        </is>
      </c>
      <c r="E51" t="inlineStr">
        <is>
          <t>Italy</t>
        </is>
      </c>
      <c r="F51" t="inlineStr">
        <is>
          <t>DEU</t>
        </is>
      </c>
      <c r="G51" t="inlineStr">
        <is>
          <t>Germany</t>
        </is>
      </c>
      <c r="H51" t="n">
        <v>843305981.74</v>
      </c>
      <c r="I51" t="n">
        <v>-2614520.98</v>
      </c>
      <c r="J51" t="n">
        <v>5091787.8</v>
      </c>
      <c r="K51" t="n">
        <v>3094.19</v>
      </c>
      <c r="L51" t="n">
        <v>683331495.96</v>
      </c>
      <c r="M51" t="n">
        <v>-12089206.57</v>
      </c>
      <c r="N51" t="n">
        <v>782644254.84</v>
      </c>
      <c r="O51" t="n">
        <v>60661726.9</v>
      </c>
      <c r="P51" t="inlineStr"/>
      <c r="Q51" t="inlineStr"/>
      <c r="R51" t="inlineStr">
        <is>
          <t>EUR</t>
        </is>
      </c>
    </row>
    <row r="52">
      <c r="A52" t="inlineStr">
        <is>
          <t>FERROVIE DELLO STATO ITALIANE</t>
        </is>
      </c>
      <c r="B52" t="n">
        <v>2020</v>
      </c>
      <c r="C52" t="inlineStr">
        <is>
          <t>Transport, Freight &amp; Storage</t>
        </is>
      </c>
      <c r="D52" t="inlineStr">
        <is>
          <t>ITA</t>
        </is>
      </c>
      <c r="E52" t="inlineStr">
        <is>
          <t>Italy</t>
        </is>
      </c>
      <c r="F52" t="inlineStr">
        <is>
          <t>DEU</t>
        </is>
      </c>
      <c r="G52" t="inlineStr">
        <is>
          <t>Germany</t>
        </is>
      </c>
      <c r="H52" t="n">
        <v>1400950867.25</v>
      </c>
      <c r="I52" t="n">
        <v>-60003392.65</v>
      </c>
      <c r="J52" t="n">
        <v>-4205894.88</v>
      </c>
      <c r="K52" t="n">
        <v>3192.93</v>
      </c>
      <c r="L52" t="n">
        <v>1117124318.84</v>
      </c>
      <c r="M52" t="n">
        <v>-39291922.39</v>
      </c>
      <c r="N52" t="n">
        <v>1351886979.74</v>
      </c>
      <c r="O52" t="n">
        <v>49063887.51</v>
      </c>
      <c r="P52" t="inlineStr"/>
      <c r="Q52" t="inlineStr"/>
      <c r="R52" t="inlineStr">
        <is>
          <t>EUR</t>
        </is>
      </c>
    </row>
    <row r="53">
      <c r="A53" t="inlineStr">
        <is>
          <t>FERROVIE DELLO STATO ITALIANE</t>
        </is>
      </c>
      <c r="B53" t="n">
        <v>2021</v>
      </c>
      <c r="C53" t="inlineStr">
        <is>
          <t>Transport, Freight &amp; Storage</t>
        </is>
      </c>
      <c r="D53" t="inlineStr">
        <is>
          <t>ITA</t>
        </is>
      </c>
      <c r="E53" t="inlineStr">
        <is>
          <t>Italy</t>
        </is>
      </c>
      <c r="F53" t="inlineStr">
        <is>
          <t>DEU</t>
        </is>
      </c>
      <c r="G53" t="inlineStr">
        <is>
          <t>Germany</t>
        </is>
      </c>
      <c r="H53" t="n">
        <v>888866675.5700001</v>
      </c>
      <c r="I53" t="n">
        <v>-1955676.19</v>
      </c>
      <c r="J53" t="n">
        <v>-3143110.35</v>
      </c>
      <c r="K53" t="n">
        <v>3445.63</v>
      </c>
      <c r="L53" t="n">
        <v>687330108.2</v>
      </c>
      <c r="M53" t="n">
        <v>-20069745.24</v>
      </c>
      <c r="N53" t="n">
        <v>808771679.3200001</v>
      </c>
      <c r="O53" t="n">
        <v>80094996.25</v>
      </c>
      <c r="P53" t="inlineStr"/>
      <c r="Q53" t="inlineStr"/>
      <c r="R53" t="inlineStr">
        <is>
          <t>EUR</t>
        </is>
      </c>
    </row>
    <row r="54">
      <c r="A54" t="inlineStr">
        <is>
          <t>GENERALI</t>
        </is>
      </c>
      <c r="B54" t="n">
        <v>2021</v>
      </c>
      <c r="C54" t="inlineStr">
        <is>
          <t>Business and Financial Services</t>
        </is>
      </c>
      <c r="D54" t="inlineStr">
        <is>
          <t>ITA</t>
        </is>
      </c>
      <c r="E54" t="inlineStr">
        <is>
          <t>Italy</t>
        </is>
      </c>
      <c r="F54" t="inlineStr">
        <is>
          <t>DEU</t>
        </is>
      </c>
      <c r="G54" t="inlineStr">
        <is>
          <t>Germany</t>
        </is>
      </c>
      <c r="H54" t="n">
        <v>23748000000</v>
      </c>
      <c r="I54" t="n">
        <v>735000000</v>
      </c>
      <c r="J54" t="n">
        <v>143000000</v>
      </c>
      <c r="K54" t="n">
        <v>9578</v>
      </c>
      <c r="L54" t="inlineStr"/>
      <c r="M54" t="n">
        <v>192000000</v>
      </c>
      <c r="N54" t="inlineStr"/>
      <c r="O54" t="inlineStr"/>
      <c r="P54" t="inlineStr"/>
      <c r="Q54" t="inlineStr"/>
      <c r="R54" t="inlineStr">
        <is>
          <t>EUR</t>
        </is>
      </c>
    </row>
    <row r="55">
      <c r="A55" t="inlineStr">
        <is>
          <t>GRUNDFOS</t>
        </is>
      </c>
      <c r="B55" t="n">
        <v>2020</v>
      </c>
      <c r="C55" t="inlineStr">
        <is>
          <t>Industrial, Electric and Electronic Machinery</t>
        </is>
      </c>
      <c r="D55" t="inlineStr">
        <is>
          <t>DNK</t>
        </is>
      </c>
      <c r="E55" t="inlineStr">
        <is>
          <t>Denmark</t>
        </is>
      </c>
      <c r="F55" t="inlineStr">
        <is>
          <t>DEU</t>
        </is>
      </c>
      <c r="G55" t="inlineStr">
        <is>
          <t>Germany</t>
        </is>
      </c>
      <c r="H55" t="n">
        <v>379233452.281935</v>
      </c>
      <c r="I55" t="n">
        <v>38011993.2387111</v>
      </c>
      <c r="J55" t="n">
        <v>23923157.4146119</v>
      </c>
      <c r="K55" t="n">
        <v>1172</v>
      </c>
      <c r="L55" t="n">
        <v>41261034.0479193</v>
      </c>
      <c r="M55" t="n">
        <v>11412894.7439028</v>
      </c>
      <c r="N55" t="n">
        <v>271106490.30077</v>
      </c>
      <c r="O55" t="n">
        <v>108126961.981165</v>
      </c>
      <c r="P55" t="inlineStr"/>
      <c r="Q55" t="inlineStr"/>
      <c r="R55" t="inlineStr">
        <is>
          <t>EUR</t>
        </is>
      </c>
    </row>
    <row r="56">
      <c r="A56" t="inlineStr">
        <is>
          <t>HEIMSTADEN</t>
        </is>
      </c>
      <c r="B56" t="n">
        <v>2020</v>
      </c>
      <c r="C56" t="inlineStr">
        <is>
          <t>Property Services</t>
        </is>
      </c>
      <c r="D56" t="inlineStr">
        <is>
          <t>SWE</t>
        </is>
      </c>
      <c r="E56" t="inlineStr">
        <is>
          <t>Sweden</t>
        </is>
      </c>
      <c r="F56" t="inlineStr">
        <is>
          <t>DEU</t>
        </is>
      </c>
      <c r="G56" t="inlineStr">
        <is>
          <t>Germany</t>
        </is>
      </c>
      <c r="H56" t="n">
        <v>953761.635891958</v>
      </c>
      <c r="I56" t="n">
        <v>0</v>
      </c>
      <c r="J56" t="n">
        <v>-95376.1635891958</v>
      </c>
      <c r="K56" t="n">
        <v>117</v>
      </c>
      <c r="L56" t="n">
        <v>95376.1635891958</v>
      </c>
      <c r="M56" t="n">
        <v>0</v>
      </c>
      <c r="N56" t="n">
        <v>953761.635891958</v>
      </c>
      <c r="O56" t="n">
        <v>0</v>
      </c>
      <c r="P56" t="inlineStr"/>
      <c r="Q56" t="inlineStr"/>
      <c r="R56" t="inlineStr">
        <is>
          <t>EUR</t>
        </is>
      </c>
    </row>
    <row r="57">
      <c r="A57" t="inlineStr">
        <is>
          <t>HEIMSTADEN</t>
        </is>
      </c>
      <c r="B57" t="n">
        <v>2021</v>
      </c>
      <c r="C57" t="inlineStr">
        <is>
          <t>Property Services</t>
        </is>
      </c>
      <c r="D57" t="inlineStr">
        <is>
          <t>SWE</t>
        </is>
      </c>
      <c r="E57" t="inlineStr">
        <is>
          <t>Sweden</t>
        </is>
      </c>
      <c r="F57" t="inlineStr">
        <is>
          <t>DEU</t>
        </is>
      </c>
      <c r="G57" t="inlineStr">
        <is>
          <t>Germany</t>
        </is>
      </c>
      <c r="H57" t="n">
        <v>91558665.54969691</v>
      </c>
      <c r="I57" t="n">
        <v>105455083.033558</v>
      </c>
      <c r="J57" t="n">
        <v>-6307593.75153994</v>
      </c>
      <c r="K57" t="n">
        <v>132</v>
      </c>
      <c r="L57" t="n">
        <v>6663282905.43537</v>
      </c>
      <c r="M57" t="n">
        <v>-3646577.63760903</v>
      </c>
      <c r="N57" t="n">
        <v>79337702.65608829</v>
      </c>
      <c r="O57" t="n">
        <v>12220962.8936086</v>
      </c>
      <c r="P57" t="inlineStr"/>
      <c r="Q57" t="inlineStr"/>
      <c r="R57" t="inlineStr">
        <is>
          <t>EUR</t>
        </is>
      </c>
    </row>
    <row r="58">
      <c r="A58" t="inlineStr">
        <is>
          <t>HYDRO</t>
        </is>
      </c>
      <c r="B58" t="n">
        <v>2018</v>
      </c>
      <c r="C58" t="inlineStr">
        <is>
          <t>Metals and Cement</t>
        </is>
      </c>
      <c r="D58" t="inlineStr">
        <is>
          <t>NOR</t>
        </is>
      </c>
      <c r="E58" t="inlineStr">
        <is>
          <t>Norway</t>
        </is>
      </c>
      <c r="F58" t="inlineStr">
        <is>
          <t>DEU</t>
        </is>
      </c>
      <c r="G58" t="inlineStr">
        <is>
          <t>Germany</t>
        </is>
      </c>
      <c r="H58" t="n">
        <v>2923573847.35608</v>
      </c>
      <c r="I58" t="n">
        <v>5939046.62672571</v>
      </c>
      <c r="J58" t="n">
        <v>4480333.4201615</v>
      </c>
      <c r="K58" t="n">
        <v>4569</v>
      </c>
      <c r="L58" t="inlineStr"/>
      <c r="M58" t="n">
        <v>5626465.22531909</v>
      </c>
      <c r="N58" t="inlineStr"/>
      <c r="O58" t="inlineStr"/>
      <c r="P58" t="inlineStr"/>
      <c r="Q58" t="n">
        <v>991612399.062256</v>
      </c>
      <c r="R58" t="inlineStr">
        <is>
          <t>EUR</t>
        </is>
      </c>
    </row>
    <row r="59">
      <c r="A59" t="inlineStr">
        <is>
          <t>HYDRO</t>
        </is>
      </c>
      <c r="B59" t="n">
        <v>2019</v>
      </c>
      <c r="C59" t="inlineStr">
        <is>
          <t>Metals and Cement</t>
        </is>
      </c>
      <c r="D59" t="inlineStr">
        <is>
          <t>NOR</t>
        </is>
      </c>
      <c r="E59" t="inlineStr">
        <is>
          <t>Norway</t>
        </is>
      </c>
      <c r="F59" t="inlineStr">
        <is>
          <t>DEU</t>
        </is>
      </c>
      <c r="G59" t="inlineStr">
        <is>
          <t>Germany</t>
        </is>
      </c>
      <c r="H59" t="n">
        <v>2794002700.20607</v>
      </c>
      <c r="I59" t="n">
        <v>-111561145.455837</v>
      </c>
      <c r="J59" t="n">
        <v>7308828.45570545</v>
      </c>
      <c r="K59" t="n">
        <v>4962</v>
      </c>
      <c r="L59" t="inlineStr"/>
      <c r="M59" t="n">
        <v>6293713.39241303</v>
      </c>
      <c r="N59" t="inlineStr"/>
      <c r="O59" t="inlineStr"/>
      <c r="P59" t="inlineStr"/>
      <c r="Q59" t="n">
        <v>838078996.254225</v>
      </c>
      <c r="R59" t="inlineStr">
        <is>
          <t>EUR</t>
        </is>
      </c>
    </row>
    <row r="60">
      <c r="A60" t="inlineStr">
        <is>
          <t>HYDRO</t>
        </is>
      </c>
      <c r="B60" t="n">
        <v>2020</v>
      </c>
      <c r="C60" t="inlineStr">
        <is>
          <t>Metals and Cement</t>
        </is>
      </c>
      <c r="D60" t="inlineStr">
        <is>
          <t>NOR</t>
        </is>
      </c>
      <c r="E60" t="inlineStr">
        <is>
          <t>Norway</t>
        </is>
      </c>
      <c r="F60" t="inlineStr">
        <is>
          <t>DEU</t>
        </is>
      </c>
      <c r="G60" t="inlineStr">
        <is>
          <t>Germany</t>
        </is>
      </c>
      <c r="H60" t="n">
        <v>2328962584.3996</v>
      </c>
      <c r="I60" t="n">
        <v>-516376319.61801</v>
      </c>
      <c r="J60" t="n">
        <v>-24713694.1843548</v>
      </c>
      <c r="K60" t="n">
        <v>4615</v>
      </c>
      <c r="L60" t="inlineStr"/>
      <c r="M60" t="n">
        <v>3077554.37012721</v>
      </c>
      <c r="N60" t="inlineStr"/>
      <c r="O60" t="inlineStr"/>
      <c r="P60" t="inlineStr"/>
      <c r="Q60" t="n">
        <v>303372253.515873</v>
      </c>
      <c r="R60" t="inlineStr">
        <is>
          <t>EUR</t>
        </is>
      </c>
    </row>
    <row r="61">
      <c r="A61" t="inlineStr">
        <is>
          <t>IBERDROLA</t>
        </is>
      </c>
      <c r="B61" t="n">
        <v>2019</v>
      </c>
      <c r="C61" t="inlineStr">
        <is>
          <t>Utilities</t>
        </is>
      </c>
      <c r="D61" t="inlineStr">
        <is>
          <t>ESP</t>
        </is>
      </c>
      <c r="E61" t="inlineStr">
        <is>
          <t>Spain</t>
        </is>
      </c>
      <c r="F61" t="inlineStr">
        <is>
          <t>DEU</t>
        </is>
      </c>
      <c r="G61" t="inlineStr">
        <is>
          <t>Germany</t>
        </is>
      </c>
      <c r="H61" t="n">
        <v>296576549</v>
      </c>
      <c r="I61" t="n">
        <v>140455366</v>
      </c>
      <c r="J61" t="n">
        <v>845</v>
      </c>
      <c r="K61" t="n">
        <v>59</v>
      </c>
      <c r="L61" t="n">
        <v>1509253548</v>
      </c>
      <c r="M61" t="n">
        <v>32216277</v>
      </c>
      <c r="N61" t="n">
        <v>253472539</v>
      </c>
      <c r="O61" t="n">
        <v>43104010</v>
      </c>
      <c r="P61" t="inlineStr"/>
      <c r="Q61" t="n">
        <v>529207059</v>
      </c>
      <c r="R61" t="inlineStr">
        <is>
          <t>EUR</t>
        </is>
      </c>
    </row>
    <row r="62">
      <c r="A62" t="inlineStr">
        <is>
          <t>IBERDROLA</t>
        </is>
      </c>
      <c r="B62" t="n">
        <v>2020</v>
      </c>
      <c r="C62" t="inlineStr">
        <is>
          <t>Utilities</t>
        </is>
      </c>
      <c r="D62" t="inlineStr">
        <is>
          <t>ESP</t>
        </is>
      </c>
      <c r="E62" t="inlineStr">
        <is>
          <t>Spain</t>
        </is>
      </c>
      <c r="F62" t="inlineStr">
        <is>
          <t>DEU</t>
        </is>
      </c>
      <c r="G62" t="inlineStr">
        <is>
          <t>Germany</t>
        </is>
      </c>
      <c r="H62" t="n">
        <v>391000000</v>
      </c>
      <c r="I62" t="n">
        <v>144000000</v>
      </c>
      <c r="J62" t="n">
        <v>68000000</v>
      </c>
      <c r="K62" t="n">
        <v>85</v>
      </c>
      <c r="L62" t="n">
        <v>1503000000</v>
      </c>
      <c r="M62" t="n">
        <v>39000000</v>
      </c>
      <c r="N62" t="n">
        <v>364000000</v>
      </c>
      <c r="O62" t="n">
        <v>27000000</v>
      </c>
      <c r="P62" t="inlineStr"/>
      <c r="Q62" t="inlineStr"/>
      <c r="R62" t="inlineStr">
        <is>
          <t>EUR</t>
        </is>
      </c>
    </row>
    <row r="63">
      <c r="A63" t="inlineStr">
        <is>
          <t>IBERDROLA</t>
        </is>
      </c>
      <c r="B63" t="n">
        <v>2021</v>
      </c>
      <c r="C63" t="inlineStr">
        <is>
          <t>Utilities</t>
        </is>
      </c>
      <c r="D63" t="inlineStr">
        <is>
          <t>ESP</t>
        </is>
      </c>
      <c r="E63" t="inlineStr">
        <is>
          <t>Spain</t>
        </is>
      </c>
      <c r="F63" t="inlineStr">
        <is>
          <t>DEU</t>
        </is>
      </c>
      <c r="G63" t="inlineStr">
        <is>
          <t>Germany</t>
        </is>
      </c>
      <c r="H63" t="n">
        <v>438000000</v>
      </c>
      <c r="I63" t="n">
        <v>128000000</v>
      </c>
      <c r="J63" t="n">
        <v>49000000</v>
      </c>
      <c r="K63" t="n">
        <v>97</v>
      </c>
      <c r="L63" t="n">
        <v>1571000000</v>
      </c>
      <c r="M63" t="n">
        <v>33000000</v>
      </c>
      <c r="N63" t="n">
        <v>292000000</v>
      </c>
      <c r="O63" t="n">
        <v>146000000</v>
      </c>
      <c r="P63" t="inlineStr"/>
      <c r="Q63" t="inlineStr"/>
      <c r="R63" t="inlineStr">
        <is>
          <t>EUR</t>
        </is>
      </c>
    </row>
    <row r="64">
      <c r="A64" t="inlineStr">
        <is>
          <t>INDITEX</t>
        </is>
      </c>
      <c r="B64" t="n">
        <v>2021</v>
      </c>
      <c r="C64" t="inlineStr">
        <is>
          <t>Clothing and Luxury Goods</t>
        </is>
      </c>
      <c r="D64" t="inlineStr">
        <is>
          <t>ESP</t>
        </is>
      </c>
      <c r="E64" t="inlineStr">
        <is>
          <t>Spain</t>
        </is>
      </c>
      <c r="F64" t="inlineStr">
        <is>
          <t>DEU</t>
        </is>
      </c>
      <c r="G64" t="inlineStr">
        <is>
          <t>Germany</t>
        </is>
      </c>
      <c r="H64" t="inlineStr"/>
      <c r="I64" t="n">
        <v>44000000</v>
      </c>
      <c r="J64" t="inlineStr"/>
      <c r="K64" t="inlineStr"/>
      <c r="L64" t="inlineStr"/>
      <c r="M64" t="n">
        <v>7000000</v>
      </c>
      <c r="N64" t="inlineStr"/>
      <c r="O64" t="inlineStr"/>
      <c r="P64" t="inlineStr"/>
      <c r="Q64" t="inlineStr"/>
      <c r="R64" t="inlineStr">
        <is>
          <t>EUR</t>
        </is>
      </c>
    </row>
    <row r="65">
      <c r="A65" t="inlineStr">
        <is>
          <t>INDRA</t>
        </is>
      </c>
      <c r="B65" t="n">
        <v>2020</v>
      </c>
      <c r="C65" t="inlineStr">
        <is>
          <t>Business and Financial Services</t>
        </is>
      </c>
      <c r="D65" t="inlineStr">
        <is>
          <t>ESP</t>
        </is>
      </c>
      <c r="E65" t="inlineStr">
        <is>
          <t>Spain</t>
        </is>
      </c>
      <c r="F65" t="inlineStr">
        <is>
          <t>DEU</t>
        </is>
      </c>
      <c r="G65" t="inlineStr">
        <is>
          <t>Germany</t>
        </is>
      </c>
      <c r="H65" t="n">
        <v>20994000</v>
      </c>
      <c r="I65" t="n">
        <v>1157000</v>
      </c>
      <c r="J65" t="n">
        <v>135000</v>
      </c>
      <c r="K65" t="inlineStr"/>
      <c r="L65" t="inlineStr"/>
      <c r="M65" t="n">
        <v>321000</v>
      </c>
      <c r="N65" t="inlineStr"/>
      <c r="O65" t="n">
        <v>1680000</v>
      </c>
      <c r="P65" t="inlineStr"/>
      <c r="Q65" t="inlineStr"/>
      <c r="R65" t="inlineStr">
        <is>
          <t>EUR</t>
        </is>
      </c>
    </row>
    <row r="66">
      <c r="A66" t="inlineStr">
        <is>
          <t>INDRA</t>
        </is>
      </c>
      <c r="B66" t="n">
        <v>2021</v>
      </c>
      <c r="C66" t="inlineStr">
        <is>
          <t>Business and Financial Services</t>
        </is>
      </c>
      <c r="D66" t="inlineStr">
        <is>
          <t>ESP</t>
        </is>
      </c>
      <c r="E66" t="inlineStr">
        <is>
          <t>Spain</t>
        </is>
      </c>
      <c r="F66" t="inlineStr">
        <is>
          <t>DEU</t>
        </is>
      </c>
      <c r="G66" t="inlineStr">
        <is>
          <t>Germany</t>
        </is>
      </c>
      <c r="H66" t="n">
        <v>17465000</v>
      </c>
      <c r="I66" t="n">
        <v>1634000</v>
      </c>
      <c r="J66" t="n">
        <v>306000</v>
      </c>
      <c r="K66" t="inlineStr"/>
      <c r="L66" t="inlineStr"/>
      <c r="M66" t="n">
        <v>490000</v>
      </c>
      <c r="N66" t="inlineStr"/>
      <c r="O66" t="n">
        <v>2696000</v>
      </c>
      <c r="P66" t="inlineStr"/>
      <c r="Q66" t="inlineStr"/>
      <c r="R66" t="inlineStr">
        <is>
          <t>EUR</t>
        </is>
      </c>
    </row>
    <row r="67">
      <c r="A67" t="inlineStr">
        <is>
          <t>INTERPUMP</t>
        </is>
      </c>
      <c r="B67" t="n">
        <v>2021</v>
      </c>
      <c r="C67" t="inlineStr">
        <is>
          <t>Industrial, Electric and Electronic Machinery</t>
        </is>
      </c>
      <c r="D67" t="inlineStr">
        <is>
          <t>ITA</t>
        </is>
      </c>
      <c r="E67" t="inlineStr">
        <is>
          <t>Italy</t>
        </is>
      </c>
      <c r="F67" t="inlineStr">
        <is>
          <t>DEU</t>
        </is>
      </c>
      <c r="G67" t="inlineStr">
        <is>
          <t>Germany</t>
        </is>
      </c>
      <c r="H67" t="n">
        <v>122460000</v>
      </c>
      <c r="I67" t="n">
        <v>30720000</v>
      </c>
      <c r="J67" t="n">
        <v>8253000</v>
      </c>
      <c r="K67" t="n">
        <v>538</v>
      </c>
      <c r="L67" t="n">
        <v>29062000</v>
      </c>
      <c r="M67" t="n">
        <v>9345000</v>
      </c>
      <c r="N67" t="n">
        <v>89688000</v>
      </c>
      <c r="O67" t="n">
        <v>32772000</v>
      </c>
      <c r="P67" t="n">
        <v>54768000</v>
      </c>
      <c r="Q67" t="n">
        <v>86343000</v>
      </c>
      <c r="R67" t="inlineStr">
        <is>
          <t>EUR</t>
        </is>
      </c>
    </row>
    <row r="68">
      <c r="A68" t="inlineStr">
        <is>
          <t>KPN</t>
        </is>
      </c>
      <c r="B68" t="n">
        <v>2019</v>
      </c>
      <c r="C68" t="inlineStr">
        <is>
          <t>Communications</t>
        </is>
      </c>
      <c r="D68" t="inlineStr">
        <is>
          <t>NLD</t>
        </is>
      </c>
      <c r="E68" t="inlineStr">
        <is>
          <t>Netherlands</t>
        </is>
      </c>
      <c r="F68" t="inlineStr">
        <is>
          <t>DEU</t>
        </is>
      </c>
      <c r="G68" t="inlineStr">
        <is>
          <t>Germany</t>
        </is>
      </c>
      <c r="H68" t="n">
        <v>10000000</v>
      </c>
      <c r="I68" t="n">
        <v>0</v>
      </c>
      <c r="J68" t="n">
        <v>1000000</v>
      </c>
      <c r="K68" t="n">
        <v>7</v>
      </c>
      <c r="L68" t="n">
        <v>0</v>
      </c>
      <c r="M68" t="n">
        <v>0</v>
      </c>
      <c r="N68" t="n">
        <v>1000000</v>
      </c>
      <c r="O68" t="n">
        <v>9000000</v>
      </c>
      <c r="P68" t="inlineStr"/>
      <c r="Q68" t="inlineStr"/>
      <c r="R68" t="inlineStr">
        <is>
          <t>EUR</t>
        </is>
      </c>
    </row>
    <row r="69">
      <c r="A69" t="inlineStr">
        <is>
          <t>KPN</t>
        </is>
      </c>
      <c r="B69" t="n">
        <v>2020</v>
      </c>
      <c r="C69" t="inlineStr">
        <is>
          <t>Communications</t>
        </is>
      </c>
      <c r="D69" t="inlineStr">
        <is>
          <t>NLD</t>
        </is>
      </c>
      <c r="E69" t="inlineStr">
        <is>
          <t>Netherlands</t>
        </is>
      </c>
      <c r="F69" t="inlineStr">
        <is>
          <t>DEU</t>
        </is>
      </c>
      <c r="G69" t="inlineStr">
        <is>
          <t>Germany</t>
        </is>
      </c>
      <c r="H69" t="n">
        <v>0</v>
      </c>
      <c r="I69" t="n">
        <v>-1000000</v>
      </c>
      <c r="J69" t="n">
        <v>0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>
        <is>
          <t>EUR</t>
        </is>
      </c>
    </row>
    <row r="70">
      <c r="A70" t="inlineStr">
        <is>
          <t>LUSH</t>
        </is>
      </c>
      <c r="B70" t="n">
        <v>2019</v>
      </c>
      <c r="C70" t="inlineStr">
        <is>
          <t>Chemicals, Cosmetics and Paints</t>
        </is>
      </c>
      <c r="D70" t="inlineStr">
        <is>
          <t>GBR</t>
        </is>
      </c>
      <c r="E70" t="inlineStr">
        <is>
          <t>United Kingdom</t>
        </is>
      </c>
      <c r="F70" t="inlineStr">
        <is>
          <t>DEU</t>
        </is>
      </c>
      <c r="G70" t="inlineStr">
        <is>
          <t>Germany</t>
        </is>
      </c>
      <c r="H70" t="n">
        <v>63450562.2201716</v>
      </c>
      <c r="I70" t="n">
        <v>2927874.04445356</v>
      </c>
      <c r="J70" t="n">
        <v>529751.529443932</v>
      </c>
      <c r="K70" t="n">
        <v>1051</v>
      </c>
      <c r="L70" t="inlineStr"/>
      <c r="M70" t="n">
        <v>424940.4741561</v>
      </c>
      <c r="N70" t="n">
        <v>34356380.3729906</v>
      </c>
      <c r="O70" t="n">
        <v>29094181.8471809</v>
      </c>
      <c r="P70" t="inlineStr"/>
      <c r="Q70" t="inlineStr"/>
      <c r="R70" t="inlineStr">
        <is>
          <t>EUR</t>
        </is>
      </c>
    </row>
    <row r="71">
      <c r="A71" t="inlineStr">
        <is>
          <t>LUSH</t>
        </is>
      </c>
      <c r="B71" t="n">
        <v>2020</v>
      </c>
      <c r="C71" t="inlineStr">
        <is>
          <t>Chemicals, Cosmetics and Paints</t>
        </is>
      </c>
      <c r="D71" t="inlineStr">
        <is>
          <t>GBR</t>
        </is>
      </c>
      <c r="E71" t="inlineStr">
        <is>
          <t>United Kingdom</t>
        </is>
      </c>
      <c r="F71" t="inlineStr">
        <is>
          <t>DEU</t>
        </is>
      </c>
      <c r="G71" t="inlineStr">
        <is>
          <t>Germany</t>
        </is>
      </c>
      <c r="H71" t="n">
        <v>52343486.5685062</v>
      </c>
      <c r="I71" t="n">
        <v>-9311003.709115431</v>
      </c>
      <c r="J71" t="n">
        <v>-597954.366640441</v>
      </c>
      <c r="K71" t="n">
        <v>1036</v>
      </c>
      <c r="L71" t="inlineStr"/>
      <c r="M71" t="n">
        <v>-50578.8468022929</v>
      </c>
      <c r="N71" t="n">
        <v>29823536.0233787</v>
      </c>
      <c r="O71" t="n">
        <v>22519950.5451276</v>
      </c>
      <c r="P71" t="inlineStr"/>
      <c r="Q71" t="inlineStr"/>
      <c r="R71" t="inlineStr">
        <is>
          <t>EUR</t>
        </is>
      </c>
    </row>
    <row r="72">
      <c r="A72" t="inlineStr">
        <is>
          <t>LUSH</t>
        </is>
      </c>
      <c r="B72" t="n">
        <v>2021</v>
      </c>
      <c r="C72" t="inlineStr">
        <is>
          <t>Chemicals, Cosmetics and Paints</t>
        </is>
      </c>
      <c r="D72" t="inlineStr">
        <is>
          <t>GBR</t>
        </is>
      </c>
      <c r="E72" t="inlineStr">
        <is>
          <t>United Kingdom</t>
        </is>
      </c>
      <c r="F72" t="inlineStr">
        <is>
          <t>DEU</t>
        </is>
      </c>
      <c r="G72" t="inlineStr">
        <is>
          <t>Germany</t>
        </is>
      </c>
      <c r="H72" t="n">
        <v>40924848.7668683</v>
      </c>
      <c r="I72" t="n">
        <v>-3353885.52815263</v>
      </c>
      <c r="J72" t="inlineStr"/>
      <c r="K72" t="n">
        <v>696</v>
      </c>
      <c r="L72" t="inlineStr"/>
      <c r="M72" t="n">
        <v>653792.461610051</v>
      </c>
      <c r="N72" t="n">
        <v>21753140.995812</v>
      </c>
      <c r="O72" t="n">
        <v>19171707.7710563</v>
      </c>
      <c r="P72" t="inlineStr"/>
      <c r="Q72" t="inlineStr"/>
      <c r="R72" t="inlineStr">
        <is>
          <t>EUR</t>
        </is>
      </c>
    </row>
    <row r="73">
      <c r="A73" t="inlineStr">
        <is>
          <t>NH</t>
        </is>
      </c>
      <c r="B73" t="n">
        <v>2021</v>
      </c>
      <c r="C73" t="inlineStr">
        <is>
          <t>Travel, Personal &amp; Leisure</t>
        </is>
      </c>
      <c r="D73" t="inlineStr">
        <is>
          <t>ESP</t>
        </is>
      </c>
      <c r="E73" t="inlineStr">
        <is>
          <t>Spain</t>
        </is>
      </c>
      <c r="F73" t="inlineStr">
        <is>
          <t>DEU</t>
        </is>
      </c>
      <c r="G73" t="inlineStr">
        <is>
          <t>Germany</t>
        </is>
      </c>
      <c r="H73" t="n">
        <v>112605000</v>
      </c>
      <c r="I73" t="n">
        <v>-21591000</v>
      </c>
      <c r="J73" t="n">
        <v>723000</v>
      </c>
      <c r="K73" t="inlineStr"/>
      <c r="L73" t="inlineStr"/>
      <c r="M73" t="n">
        <v>381000</v>
      </c>
      <c r="N73" t="inlineStr"/>
      <c r="O73" t="inlineStr"/>
      <c r="P73" t="inlineStr"/>
      <c r="Q73" t="inlineStr"/>
      <c r="R73" t="inlineStr">
        <is>
          <t>EUR</t>
        </is>
      </c>
    </row>
    <row r="74">
      <c r="A74" t="inlineStr">
        <is>
          <t>NN</t>
        </is>
      </c>
      <c r="B74" t="n">
        <v>2019</v>
      </c>
      <c r="C74" t="inlineStr">
        <is>
          <t>Business and Financial Services</t>
        </is>
      </c>
      <c r="D74" t="inlineStr">
        <is>
          <t>NLD</t>
        </is>
      </c>
      <c r="E74" t="inlineStr">
        <is>
          <t>Netherlands</t>
        </is>
      </c>
      <c r="F74" t="inlineStr">
        <is>
          <t>DEU</t>
        </is>
      </c>
      <c r="G74" t="inlineStr">
        <is>
          <t>Germany</t>
        </is>
      </c>
      <c r="H74" t="n">
        <v>38000000</v>
      </c>
      <c r="I74" t="n">
        <v>37000000</v>
      </c>
      <c r="J74" t="n">
        <v>2000000</v>
      </c>
      <c r="K74" t="n">
        <v>10</v>
      </c>
      <c r="L74" t="inlineStr"/>
      <c r="M74" t="n">
        <v>7000000</v>
      </c>
      <c r="N74" t="inlineStr"/>
      <c r="O74" t="inlineStr"/>
      <c r="P74" t="inlineStr"/>
      <c r="Q74" t="inlineStr"/>
      <c r="R74" t="inlineStr">
        <is>
          <t>EUR</t>
        </is>
      </c>
    </row>
    <row r="75">
      <c r="A75" t="inlineStr">
        <is>
          <t>NN</t>
        </is>
      </c>
      <c r="B75" t="n">
        <v>2020</v>
      </c>
      <c r="C75" t="inlineStr">
        <is>
          <t>Business and Financial Services</t>
        </is>
      </c>
      <c r="D75" t="inlineStr">
        <is>
          <t>NLD</t>
        </is>
      </c>
      <c r="E75" t="inlineStr">
        <is>
          <t>Netherlands</t>
        </is>
      </c>
      <c r="F75" t="inlineStr">
        <is>
          <t>DEU</t>
        </is>
      </c>
      <c r="G75" t="inlineStr">
        <is>
          <t>Germany</t>
        </is>
      </c>
      <c r="H75" t="n">
        <v>25000000</v>
      </c>
      <c r="I75" t="n">
        <v>22000000</v>
      </c>
      <c r="J75" t="n">
        <v>8000000</v>
      </c>
      <c r="K75" t="n">
        <v>10</v>
      </c>
      <c r="L75" t="inlineStr"/>
      <c r="M75" t="n">
        <v>6000000</v>
      </c>
      <c r="N75" t="inlineStr"/>
      <c r="O75" t="inlineStr"/>
      <c r="P75" t="inlineStr"/>
      <c r="Q75" t="inlineStr"/>
      <c r="R75" t="inlineStr">
        <is>
          <t>EUR</t>
        </is>
      </c>
    </row>
    <row r="76">
      <c r="A76" t="inlineStr">
        <is>
          <t>NN</t>
        </is>
      </c>
      <c r="B76" t="n">
        <v>2021</v>
      </c>
      <c r="C76" t="inlineStr">
        <is>
          <t>Business and Financial Services</t>
        </is>
      </c>
      <c r="D76" t="inlineStr">
        <is>
          <t>NLD</t>
        </is>
      </c>
      <c r="E76" t="inlineStr">
        <is>
          <t>Netherlands</t>
        </is>
      </c>
      <c r="F76" t="inlineStr">
        <is>
          <t>DEU</t>
        </is>
      </c>
      <c r="G76" t="inlineStr">
        <is>
          <t>Germany</t>
        </is>
      </c>
      <c r="H76" t="n">
        <v>102000000</v>
      </c>
      <c r="I76" t="n">
        <v>131000000</v>
      </c>
      <c r="J76" t="n">
        <v>2000000</v>
      </c>
      <c r="K76" t="n">
        <v>9</v>
      </c>
      <c r="L76" t="inlineStr"/>
      <c r="M76" t="n">
        <v>20000000</v>
      </c>
      <c r="N76" t="inlineStr"/>
      <c r="O76" t="inlineStr"/>
      <c r="P76" t="inlineStr"/>
      <c r="Q76" t="inlineStr"/>
      <c r="R76" t="inlineStr">
        <is>
          <t>EUR</t>
        </is>
      </c>
    </row>
    <row r="77">
      <c r="A77" t="inlineStr">
        <is>
          <t>OMRON</t>
        </is>
      </c>
      <c r="B77" t="n">
        <v>2020</v>
      </c>
      <c r="C77" t="inlineStr">
        <is>
          <t>Industrial, Electric and Electronic Machinery</t>
        </is>
      </c>
      <c r="D77" t="inlineStr">
        <is>
          <t>JPN</t>
        </is>
      </c>
      <c r="E77" t="inlineStr">
        <is>
          <t>Japan</t>
        </is>
      </c>
      <c r="F77" t="inlineStr">
        <is>
          <t>DEU</t>
        </is>
      </c>
      <c r="G77" t="inlineStr">
        <is>
          <t>Germany</t>
        </is>
      </c>
      <c r="H77" t="n">
        <v>69019286.0073861</v>
      </c>
      <c r="I77" t="n">
        <v>4021337.71029955</v>
      </c>
      <c r="J77" t="n">
        <v>2462043.49610176</v>
      </c>
      <c r="K77" t="n">
        <v>212</v>
      </c>
      <c r="L77" t="inlineStr"/>
      <c r="M77" t="n">
        <v>820681.165367255</v>
      </c>
      <c r="N77" t="inlineStr"/>
      <c r="O77" t="inlineStr"/>
      <c r="P77" t="inlineStr"/>
      <c r="Q77" t="inlineStr"/>
      <c r="R77" t="inlineStr">
        <is>
          <t>EUR</t>
        </is>
      </c>
    </row>
    <row r="78">
      <c r="A78" t="inlineStr">
        <is>
          <t>OMRON</t>
        </is>
      </c>
      <c r="B78" t="n">
        <v>2021</v>
      </c>
      <c r="C78" t="inlineStr">
        <is>
          <t>Industrial, Electric and Electronic Machinery</t>
        </is>
      </c>
      <c r="D78" t="inlineStr">
        <is>
          <t>JPN</t>
        </is>
      </c>
      <c r="E78" t="inlineStr">
        <is>
          <t>Japan</t>
        </is>
      </c>
      <c r="F78" t="inlineStr">
        <is>
          <t>DEU</t>
        </is>
      </c>
      <c r="G78" t="inlineStr">
        <is>
          <t>Germany</t>
        </is>
      </c>
      <c r="H78" t="n">
        <v>75454265.4758238</v>
      </c>
      <c r="I78" t="n">
        <v>4157684.01601478</v>
      </c>
      <c r="J78" t="n">
        <v>692947.3360024641</v>
      </c>
      <c r="K78" t="n">
        <v>211</v>
      </c>
      <c r="L78" t="inlineStr"/>
      <c r="M78" t="n">
        <v>769941.484447182</v>
      </c>
      <c r="N78" t="inlineStr"/>
      <c r="O78" t="inlineStr"/>
      <c r="P78" t="inlineStr"/>
      <c r="Q78" t="inlineStr"/>
      <c r="R78" t="inlineStr">
        <is>
          <t>EUR</t>
        </is>
      </c>
    </row>
    <row r="79">
      <c r="A79" t="inlineStr">
        <is>
          <t>ORICA</t>
        </is>
      </c>
      <c r="B79" t="n">
        <v>2020</v>
      </c>
      <c r="C79" t="inlineStr">
        <is>
          <t>Chemicals, Cosmetics and Paints</t>
        </is>
      </c>
      <c r="D79" t="inlineStr">
        <is>
          <t>AUS</t>
        </is>
      </c>
      <c r="E79" t="inlineStr">
        <is>
          <t>Australia</t>
        </is>
      </c>
      <c r="F79" t="inlineStr">
        <is>
          <t>DEU</t>
        </is>
      </c>
      <c r="G79" t="inlineStr">
        <is>
          <t>Germany</t>
        </is>
      </c>
      <c r="H79" t="n">
        <v>25566292.2230951</v>
      </c>
      <c r="I79" t="n">
        <v>-441712.490180676</v>
      </c>
      <c r="J79" t="n">
        <v>909438.636775636</v>
      </c>
      <c r="K79" t="n">
        <v>32</v>
      </c>
      <c r="L79" t="n">
        <v>503707.776904949</v>
      </c>
      <c r="M79" t="n">
        <v>30562.5717566016</v>
      </c>
      <c r="N79" t="n">
        <v>6949939.57338812</v>
      </c>
      <c r="O79" t="n">
        <v>18616352.6497069</v>
      </c>
      <c r="P79" t="inlineStr"/>
      <c r="Q79" t="inlineStr"/>
      <c r="R79" t="inlineStr">
        <is>
          <t>EUR</t>
        </is>
      </c>
    </row>
    <row r="80">
      <c r="A80" t="inlineStr">
        <is>
          <t>ORICA</t>
        </is>
      </c>
      <c r="B80" t="n">
        <v>2021</v>
      </c>
      <c r="C80" t="inlineStr">
        <is>
          <t>Chemicals, Cosmetics and Paints</t>
        </is>
      </c>
      <c r="D80" t="inlineStr">
        <is>
          <t>AUS</t>
        </is>
      </c>
      <c r="E80" t="inlineStr">
        <is>
          <t>Australia</t>
        </is>
      </c>
      <c r="F80" t="inlineStr">
        <is>
          <t>DEU</t>
        </is>
      </c>
      <c r="G80" t="inlineStr">
        <is>
          <t>Germany</t>
        </is>
      </c>
      <c r="H80" t="n">
        <v>24645167.9471712</v>
      </c>
      <c r="I80" t="n">
        <v>3813178.61451521</v>
      </c>
      <c r="J80" t="n">
        <v>10906951.5524795</v>
      </c>
      <c r="K80" t="n">
        <v>28</v>
      </c>
      <c r="L80" t="n">
        <v>506416.280398756</v>
      </c>
      <c r="M80" t="n">
        <v>-632301.733443393</v>
      </c>
      <c r="N80" t="n">
        <v>6995796.55851165</v>
      </c>
      <c r="O80" t="n">
        <v>17649371.3886596</v>
      </c>
      <c r="P80" t="inlineStr"/>
      <c r="Q80" t="inlineStr"/>
      <c r="R80" t="inlineStr">
        <is>
          <t>EUR</t>
        </is>
      </c>
    </row>
    <row r="81">
      <c r="A81" t="inlineStr">
        <is>
          <t>ØRSTED</t>
        </is>
      </c>
      <c r="B81" t="n">
        <v>2020</v>
      </c>
      <c r="C81" t="inlineStr">
        <is>
          <t>Utilities</t>
        </is>
      </c>
      <c r="D81" t="inlineStr">
        <is>
          <t>DNK</t>
        </is>
      </c>
      <c r="E81" t="inlineStr">
        <is>
          <t>Denmark</t>
        </is>
      </c>
      <c r="F81" t="inlineStr">
        <is>
          <t>DEU</t>
        </is>
      </c>
      <c r="G81" t="inlineStr">
        <is>
          <t>Germany</t>
        </is>
      </c>
      <c r="H81" t="n">
        <v>490059295.430764</v>
      </c>
      <c r="I81" t="n">
        <v>124761879.209037</v>
      </c>
      <c r="J81" t="n">
        <v>268305.116578573</v>
      </c>
      <c r="K81" t="n">
        <v>219</v>
      </c>
      <c r="L81" t="n">
        <v>1511094416.57052</v>
      </c>
      <c r="M81" t="n">
        <v>37428563.762711</v>
      </c>
      <c r="N81" t="n">
        <v>398164793.002603</v>
      </c>
      <c r="O81" t="n">
        <v>91894502.42816129</v>
      </c>
      <c r="P81" t="inlineStr"/>
      <c r="Q81" t="inlineStr"/>
      <c r="R81" t="inlineStr">
        <is>
          <t>EUR</t>
        </is>
      </c>
    </row>
    <row r="82">
      <c r="A82" t="inlineStr">
        <is>
          <t>ØRSTED</t>
        </is>
      </c>
      <c r="B82" t="n">
        <v>2021</v>
      </c>
      <c r="C82" t="inlineStr">
        <is>
          <t>Utilities</t>
        </is>
      </c>
      <c r="D82" t="inlineStr">
        <is>
          <t>DNK</t>
        </is>
      </c>
      <c r="E82" t="inlineStr">
        <is>
          <t>Denmark</t>
        </is>
      </c>
      <c r="F82" t="inlineStr">
        <is>
          <t>DEU</t>
        </is>
      </c>
      <c r="G82" t="inlineStr">
        <is>
          <t>Germany</t>
        </is>
      </c>
      <c r="H82" t="n">
        <v>473981444.130698</v>
      </c>
      <c r="I82" t="n">
        <v>-42355788.6244453</v>
      </c>
      <c r="J82" t="n">
        <v>3227107.70471964</v>
      </c>
      <c r="K82" t="n">
        <v>251</v>
      </c>
      <c r="L82" t="n">
        <v>1421540943.929</v>
      </c>
      <c r="M82" t="n">
        <v>-12639505.1768186</v>
      </c>
      <c r="N82" t="n">
        <v>279682667.742369</v>
      </c>
      <c r="O82" t="n">
        <v>194298776.388329</v>
      </c>
      <c r="P82" t="inlineStr"/>
      <c r="Q82" t="inlineStr"/>
      <c r="R82" t="inlineStr">
        <is>
          <t>EUR</t>
        </is>
      </c>
    </row>
    <row r="83">
      <c r="A83" t="inlineStr">
        <is>
          <t>PANDORA</t>
        </is>
      </c>
      <c r="B83" t="n">
        <v>2021</v>
      </c>
      <c r="C83" t="inlineStr">
        <is>
          <t>Clothing and Luxury Goods</t>
        </is>
      </c>
      <c r="D83" t="inlineStr">
        <is>
          <t>DNK</t>
        </is>
      </c>
      <c r="E83" t="inlineStr">
        <is>
          <t>Denmark</t>
        </is>
      </c>
      <c r="F83" t="inlineStr">
        <is>
          <t>DEU</t>
        </is>
      </c>
      <c r="G83" t="inlineStr">
        <is>
          <t>Germany</t>
        </is>
      </c>
      <c r="H83" t="n">
        <v>215274976.469006</v>
      </c>
      <c r="I83" t="n">
        <v>11832728.2506387</v>
      </c>
      <c r="J83" t="n">
        <v>1882479.49441979</v>
      </c>
      <c r="K83" t="n">
        <v>908</v>
      </c>
      <c r="L83" t="inlineStr"/>
      <c r="M83" t="n">
        <v>3496033.34677962</v>
      </c>
      <c r="N83" t="inlineStr"/>
      <c r="O83" t="inlineStr"/>
      <c r="P83" t="inlineStr"/>
      <c r="Q83" t="n">
        <v>13311819.2819685</v>
      </c>
      <c r="R83" t="inlineStr">
        <is>
          <t>EUR</t>
        </is>
      </c>
    </row>
    <row r="84">
      <c r="A84" t="inlineStr">
        <is>
          <t>PARQUES REUNIDOS</t>
        </is>
      </c>
      <c r="B84" t="n">
        <v>2021</v>
      </c>
      <c r="C84" t="inlineStr">
        <is>
          <t>Travel, Personal &amp; Leisure</t>
        </is>
      </c>
      <c r="D84" t="inlineStr">
        <is>
          <t>ESP</t>
        </is>
      </c>
      <c r="E84" t="inlineStr">
        <is>
          <t>Spain</t>
        </is>
      </c>
      <c r="F84" t="inlineStr">
        <is>
          <t>DEU</t>
        </is>
      </c>
      <c r="G84" t="inlineStr">
        <is>
          <t>Germany</t>
        </is>
      </c>
      <c r="H84" t="inlineStr"/>
      <c r="I84" t="n">
        <v>3848000</v>
      </c>
      <c r="J84" t="n">
        <v>191000</v>
      </c>
      <c r="K84" t="inlineStr"/>
      <c r="L84" t="inlineStr"/>
      <c r="M84" t="n">
        <v>5965000</v>
      </c>
      <c r="N84" t="n">
        <v>107956000</v>
      </c>
      <c r="O84" t="inlineStr"/>
      <c r="P84" t="inlineStr"/>
      <c r="Q84" t="inlineStr"/>
      <c r="R84" t="inlineStr">
        <is>
          <t>EUR</t>
        </is>
      </c>
    </row>
    <row r="85">
      <c r="A85" t="inlineStr">
        <is>
          <t>PEARSON</t>
        </is>
      </c>
      <c r="B85" t="n">
        <v>2020</v>
      </c>
      <c r="C85" t="inlineStr">
        <is>
          <t>Printing &amp; Publishing</t>
        </is>
      </c>
      <c r="D85" t="inlineStr">
        <is>
          <t>GBR</t>
        </is>
      </c>
      <c r="E85" t="inlineStr">
        <is>
          <t>United Kingdom</t>
        </is>
      </c>
      <c r="F85" t="inlineStr">
        <is>
          <t>DEU</t>
        </is>
      </c>
      <c r="G85" t="inlineStr">
        <is>
          <t>Germany</t>
        </is>
      </c>
      <c r="H85" t="n">
        <v>30347308.0813757</v>
      </c>
      <c r="I85" t="n">
        <v>4495897.49353715</v>
      </c>
      <c r="J85" t="n">
        <v>1123974.37338429</v>
      </c>
      <c r="K85" t="n">
        <v>134</v>
      </c>
      <c r="L85" t="n">
        <v>5619871.86692143</v>
      </c>
      <c r="M85" t="n">
        <v>1123974.37338429</v>
      </c>
      <c r="N85" t="n">
        <v>29223333.7079915</v>
      </c>
      <c r="O85" t="n">
        <v>1123974.37338429</v>
      </c>
      <c r="P85" t="n">
        <v>66314488.0296729</v>
      </c>
      <c r="Q85" t="n">
        <v>-22479487.4676857</v>
      </c>
      <c r="R85" t="inlineStr">
        <is>
          <t>EUR</t>
        </is>
      </c>
    </row>
    <row r="86">
      <c r="A86" t="inlineStr">
        <is>
          <t>PEARSON</t>
        </is>
      </c>
      <c r="B86" t="n">
        <v>2021</v>
      </c>
      <c r="C86" t="inlineStr">
        <is>
          <t>Printing &amp; Publishing</t>
        </is>
      </c>
      <c r="D86" t="inlineStr">
        <is>
          <t>GBR</t>
        </is>
      </c>
      <c r="E86" t="inlineStr">
        <is>
          <t>United Kingdom</t>
        </is>
      </c>
      <c r="F86" t="inlineStr">
        <is>
          <t>DEU</t>
        </is>
      </c>
      <c r="G86" t="inlineStr">
        <is>
          <t>Germany</t>
        </is>
      </c>
      <c r="H86" t="n">
        <v>29221731.037692</v>
      </c>
      <c r="I86" t="n">
        <v>1425081.43322476</v>
      </c>
      <c r="J86" t="n">
        <v>446719.404374128</v>
      </c>
      <c r="K86" t="n">
        <v>132</v>
      </c>
      <c r="L86" t="n">
        <v>5666589.11121452</v>
      </c>
      <c r="M86" t="n">
        <v>271056.30525826</v>
      </c>
      <c r="N86" t="n">
        <v>28413215.4490461</v>
      </c>
      <c r="O86" t="n">
        <v>808515.588645882</v>
      </c>
      <c r="P86" t="n">
        <v>63802931.5960912</v>
      </c>
      <c r="Q86" t="n">
        <v>-19498604.0018613</v>
      </c>
      <c r="R86" t="inlineStr">
        <is>
          <t>EUR</t>
        </is>
      </c>
    </row>
    <row r="87">
      <c r="A87" t="inlineStr">
        <is>
          <t>PHILIPS</t>
        </is>
      </c>
      <c r="B87" t="n">
        <v>2020</v>
      </c>
      <c r="C87" t="inlineStr">
        <is>
          <t>Industrial, Electric and Electronic Machinery</t>
        </is>
      </c>
      <c r="D87" t="inlineStr">
        <is>
          <t>NLD</t>
        </is>
      </c>
      <c r="E87" t="inlineStr">
        <is>
          <t>Netherlands</t>
        </is>
      </c>
      <c r="F87" t="inlineStr">
        <is>
          <t>DEU</t>
        </is>
      </c>
      <c r="G87" t="inlineStr">
        <is>
          <t>Germany</t>
        </is>
      </c>
      <c r="H87" t="n">
        <v>3193990000</v>
      </c>
      <c r="I87" t="n">
        <v>502120000</v>
      </c>
      <c r="J87" t="n">
        <v>185120000</v>
      </c>
      <c r="K87" t="n">
        <v>3825</v>
      </c>
      <c r="L87" t="n">
        <v>172690000</v>
      </c>
      <c r="M87" t="n">
        <v>117550000</v>
      </c>
      <c r="N87" t="n">
        <v>1344510000</v>
      </c>
      <c r="O87" t="n">
        <v>1849480000</v>
      </c>
      <c r="P87" t="inlineStr"/>
      <c r="Q87" t="inlineStr"/>
      <c r="R87" t="inlineStr">
        <is>
          <t>EUR</t>
        </is>
      </c>
    </row>
    <row r="88">
      <c r="A88" t="inlineStr">
        <is>
          <t>PHILIPS</t>
        </is>
      </c>
      <c r="B88" t="n">
        <v>2021</v>
      </c>
      <c r="C88" t="inlineStr">
        <is>
          <t>Industrial, Electric and Electronic Machinery</t>
        </is>
      </c>
      <c r="D88" t="inlineStr">
        <is>
          <t>NLD</t>
        </is>
      </c>
      <c r="E88" t="inlineStr">
        <is>
          <t>Netherlands</t>
        </is>
      </c>
      <c r="F88" t="inlineStr">
        <is>
          <t>DEU</t>
        </is>
      </c>
      <c r="G88" t="inlineStr">
        <is>
          <t>Germany</t>
        </is>
      </c>
      <c r="H88" t="n">
        <v>2261170000</v>
      </c>
      <c r="I88" t="n">
        <v>130530000</v>
      </c>
      <c r="J88" t="n">
        <v>27700000</v>
      </c>
      <c r="K88" t="n">
        <v>3762</v>
      </c>
      <c r="L88" t="n">
        <v>168500000</v>
      </c>
      <c r="M88" t="n">
        <v>35920000</v>
      </c>
      <c r="N88" t="n">
        <v>970430000</v>
      </c>
      <c r="O88" t="n">
        <v>1290740000</v>
      </c>
      <c r="P88" t="inlineStr"/>
      <c r="Q88" t="inlineStr"/>
      <c r="R88" t="inlineStr">
        <is>
          <t>EUR</t>
        </is>
      </c>
    </row>
    <row r="89">
      <c r="A89" t="inlineStr">
        <is>
          <t>PIAGGIO</t>
        </is>
      </c>
      <c r="B89" t="n">
        <v>2021</v>
      </c>
      <c r="C89" t="inlineStr">
        <is>
          <t>Unclassified Manufacturing</t>
        </is>
      </c>
      <c r="D89" t="inlineStr">
        <is>
          <t>ITA</t>
        </is>
      </c>
      <c r="E89" t="inlineStr">
        <is>
          <t>Italy</t>
        </is>
      </c>
      <c r="F89" t="inlineStr">
        <is>
          <t>DEU</t>
        </is>
      </c>
      <c r="G89" t="inlineStr">
        <is>
          <t>Germany</t>
        </is>
      </c>
      <c r="H89" t="n">
        <v>4000000</v>
      </c>
      <c r="I89" t="n">
        <v>1000000</v>
      </c>
      <c r="J89" t="n">
        <v>0</v>
      </c>
      <c r="K89" t="n">
        <v>31</v>
      </c>
      <c r="L89" t="n">
        <v>0</v>
      </c>
      <c r="M89" t="n">
        <v>0</v>
      </c>
      <c r="N89" t="n">
        <v>0</v>
      </c>
      <c r="O89" t="n">
        <v>4000000</v>
      </c>
      <c r="P89" t="inlineStr"/>
      <c r="Q89" t="inlineStr"/>
      <c r="R89" t="inlineStr">
        <is>
          <t>EUR</t>
        </is>
      </c>
    </row>
    <row r="90">
      <c r="A90" t="inlineStr">
        <is>
          <t>PIQUADRO</t>
        </is>
      </c>
      <c r="B90" t="n">
        <v>2021</v>
      </c>
      <c r="C90" t="inlineStr">
        <is>
          <t>Retail</t>
        </is>
      </c>
      <c r="D90" t="inlineStr">
        <is>
          <t>ITA</t>
        </is>
      </c>
      <c r="E90" t="inlineStr">
        <is>
          <t>Italy</t>
        </is>
      </c>
      <c r="F90" t="inlineStr">
        <is>
          <t>DEU</t>
        </is>
      </c>
      <c r="G90" t="inlineStr">
        <is>
          <t>Germany</t>
        </is>
      </c>
      <c r="H90" t="n">
        <v>24000</v>
      </c>
      <c r="I90" t="n">
        <v>27000</v>
      </c>
      <c r="J90" t="n">
        <v>3000</v>
      </c>
      <c r="K90" t="n">
        <v>1</v>
      </c>
      <c r="L90" t="n">
        <v>0</v>
      </c>
      <c r="M90" t="n">
        <v>3000</v>
      </c>
      <c r="N90" t="n">
        <v>20000</v>
      </c>
      <c r="O90" t="n">
        <v>4000</v>
      </c>
      <c r="P90" t="inlineStr"/>
      <c r="Q90" t="inlineStr"/>
      <c r="R90" t="inlineStr">
        <is>
          <t>EUR</t>
        </is>
      </c>
    </row>
    <row r="91">
      <c r="A91" t="inlineStr">
        <is>
          <t>PRYSMIAN</t>
        </is>
      </c>
      <c r="B91" t="n">
        <v>2019</v>
      </c>
      <c r="C91" t="inlineStr">
        <is>
          <t>Communications</t>
        </is>
      </c>
      <c r="D91" t="inlineStr">
        <is>
          <t>ITA</t>
        </is>
      </c>
      <c r="E91" t="inlineStr">
        <is>
          <t>Italy</t>
        </is>
      </c>
      <c r="F91" t="inlineStr">
        <is>
          <t>DEU</t>
        </is>
      </c>
      <c r="G91" t="inlineStr">
        <is>
          <t>Germany</t>
        </is>
      </c>
      <c r="H91" t="n">
        <v>977430000</v>
      </c>
      <c r="I91" t="n">
        <v>-22140000</v>
      </c>
      <c r="J91" t="n">
        <v>980000</v>
      </c>
      <c r="K91" t="n">
        <v>1865</v>
      </c>
      <c r="L91" t="n">
        <v>283730000</v>
      </c>
      <c r="M91" t="n">
        <v>750000</v>
      </c>
      <c r="N91" t="n">
        <v>772210000</v>
      </c>
      <c r="O91" t="n">
        <v>205220000</v>
      </c>
      <c r="P91" t="inlineStr"/>
      <c r="Q91" t="inlineStr"/>
      <c r="R91" t="inlineStr">
        <is>
          <t>EUR</t>
        </is>
      </c>
    </row>
    <row r="92">
      <c r="A92" t="inlineStr">
        <is>
          <t>PRYSMIAN</t>
        </is>
      </c>
      <c r="B92" t="n">
        <v>2020</v>
      </c>
      <c r="C92" t="inlineStr">
        <is>
          <t>Communications</t>
        </is>
      </c>
      <c r="D92" t="inlineStr">
        <is>
          <t>ITA</t>
        </is>
      </c>
      <c r="E92" t="inlineStr">
        <is>
          <t>Italy</t>
        </is>
      </c>
      <c r="F92" t="inlineStr">
        <is>
          <t>DEU</t>
        </is>
      </c>
      <c r="G92" t="inlineStr">
        <is>
          <t>Germany</t>
        </is>
      </c>
      <c r="H92" t="n">
        <v>853400000</v>
      </c>
      <c r="I92" t="n">
        <v>-3540000</v>
      </c>
      <c r="J92" t="n">
        <v>2470000</v>
      </c>
      <c r="K92" t="n">
        <v>1825</v>
      </c>
      <c r="L92" t="n">
        <v>291500000</v>
      </c>
      <c r="M92" t="n">
        <v>680000</v>
      </c>
      <c r="N92" t="n">
        <v>660300000</v>
      </c>
      <c r="O92" t="n">
        <v>193100000</v>
      </c>
      <c r="P92" t="inlineStr"/>
      <c r="Q92" t="inlineStr"/>
      <c r="R92" t="inlineStr">
        <is>
          <t>EUR</t>
        </is>
      </c>
    </row>
    <row r="93">
      <c r="A93" t="inlineStr">
        <is>
          <t>PRYSMIAN</t>
        </is>
      </c>
      <c r="B93" t="n">
        <v>2021</v>
      </c>
      <c r="C93" t="inlineStr">
        <is>
          <t>Communications</t>
        </is>
      </c>
      <c r="D93" t="inlineStr">
        <is>
          <t>ITA</t>
        </is>
      </c>
      <c r="E93" t="inlineStr">
        <is>
          <t>Italy</t>
        </is>
      </c>
      <c r="F93" t="inlineStr">
        <is>
          <t>DEU</t>
        </is>
      </c>
      <c r="G93" t="inlineStr">
        <is>
          <t>Germany</t>
        </is>
      </c>
      <c r="H93" t="n">
        <v>1126000000</v>
      </c>
      <c r="I93" t="n">
        <v>10000000</v>
      </c>
      <c r="J93" t="n">
        <v>1000000</v>
      </c>
      <c r="K93" t="n">
        <v>1910</v>
      </c>
      <c r="L93" t="n">
        <v>322000000</v>
      </c>
      <c r="M93" t="n">
        <v>3000000</v>
      </c>
      <c r="N93" t="n">
        <v>836000000</v>
      </c>
      <c r="O93" t="n">
        <v>290000000</v>
      </c>
      <c r="P93" t="inlineStr"/>
      <c r="Q93" t="inlineStr"/>
      <c r="R93" t="inlineStr">
        <is>
          <t>EUR</t>
        </is>
      </c>
    </row>
    <row r="94">
      <c r="A94" t="inlineStr">
        <is>
          <t>QIAGEN</t>
        </is>
      </c>
      <c r="B94" t="n">
        <v>2020</v>
      </c>
      <c r="C94" t="inlineStr">
        <is>
          <t>Biomedical</t>
        </is>
      </c>
      <c r="D94" t="inlineStr">
        <is>
          <t>NLD</t>
        </is>
      </c>
      <c r="E94" t="inlineStr">
        <is>
          <t>Netherlands</t>
        </is>
      </c>
      <c r="F94" t="inlineStr">
        <is>
          <t>DEU</t>
        </is>
      </c>
      <c r="G94" t="inlineStr">
        <is>
          <t>Germany</t>
        </is>
      </c>
      <c r="H94" t="n">
        <v>867339345.123446</v>
      </c>
      <c r="I94" t="n">
        <v>149410786.202066</v>
      </c>
      <c r="J94" t="n">
        <v>4141131.15041149</v>
      </c>
      <c r="K94" t="n">
        <v>1361</v>
      </c>
      <c r="L94" t="n">
        <v>337320084.048328</v>
      </c>
      <c r="M94" t="n">
        <v>-1830677.63964279</v>
      </c>
      <c r="N94" t="n">
        <v>292801610.926283</v>
      </c>
      <c r="O94" t="n">
        <v>574537734.197163</v>
      </c>
      <c r="P94" t="n">
        <v>558188583.435475</v>
      </c>
      <c r="Q94" t="n">
        <v>-243705130.450009</v>
      </c>
      <c r="R94" t="inlineStr">
        <is>
          <t>EUR</t>
        </is>
      </c>
    </row>
    <row r="95">
      <c r="A95" t="inlineStr">
        <is>
          <t>QIAGEN</t>
        </is>
      </c>
      <c r="B95" t="n">
        <v>2021</v>
      </c>
      <c r="C95" t="inlineStr">
        <is>
          <t>Biomedical</t>
        </is>
      </c>
      <c r="D95" t="inlineStr">
        <is>
          <t>NLD</t>
        </is>
      </c>
      <c r="E95" t="inlineStr">
        <is>
          <t>Netherlands</t>
        </is>
      </c>
      <c r="F95" t="inlineStr">
        <is>
          <t>DEU</t>
        </is>
      </c>
      <c r="G95" t="inlineStr">
        <is>
          <t>Germany</t>
        </is>
      </c>
      <c r="H95" t="n">
        <v>1031340999.40813</v>
      </c>
      <c r="I95" t="n">
        <v>194966601.84324</v>
      </c>
      <c r="J95" t="n">
        <v>13320368.6480088</v>
      </c>
      <c r="K95" t="n">
        <v>1517</v>
      </c>
      <c r="L95" t="n">
        <v>427008539.781855</v>
      </c>
      <c r="M95" t="n">
        <v>-12728502.578845</v>
      </c>
      <c r="N95" t="n">
        <v>312109579.775091</v>
      </c>
      <c r="O95" t="n">
        <v>719231419.6330431</v>
      </c>
      <c r="P95" t="n">
        <v>654876976.409909</v>
      </c>
      <c r="Q95" t="n">
        <v>-103854739.156168</v>
      </c>
      <c r="R95" t="inlineStr">
        <is>
          <t>EUR</t>
        </is>
      </c>
    </row>
    <row r="96">
      <c r="A96" t="inlineStr">
        <is>
          <t>RANDSTAD</t>
        </is>
      </c>
      <c r="B96" t="n">
        <v>2019</v>
      </c>
      <c r="C96" t="inlineStr">
        <is>
          <t>Business and Financial Services</t>
        </is>
      </c>
      <c r="D96" t="inlineStr">
        <is>
          <t>NLD</t>
        </is>
      </c>
      <c r="E96" t="inlineStr">
        <is>
          <t>Netherlands</t>
        </is>
      </c>
      <c r="F96" t="inlineStr">
        <is>
          <t>DEU</t>
        </is>
      </c>
      <c r="G96" t="inlineStr">
        <is>
          <t>Germany</t>
        </is>
      </c>
      <c r="H96" t="inlineStr"/>
      <c r="I96" t="n">
        <v>-22000000</v>
      </c>
      <c r="J96" t="n">
        <v>13000000</v>
      </c>
      <c r="K96" t="n">
        <v>2990</v>
      </c>
      <c r="L96" t="n">
        <v>6000000</v>
      </c>
      <c r="M96" t="n">
        <v>1000000</v>
      </c>
      <c r="N96" t="n">
        <v>2106000000</v>
      </c>
      <c r="O96" t="inlineStr"/>
      <c r="P96" t="inlineStr"/>
      <c r="Q96" t="inlineStr"/>
      <c r="R96" t="inlineStr">
        <is>
          <t>EUR</t>
        </is>
      </c>
    </row>
    <row r="97">
      <c r="A97" t="inlineStr">
        <is>
          <t>RANDSTAD</t>
        </is>
      </c>
      <c r="B97" t="n">
        <v>2021</v>
      </c>
      <c r="C97" t="inlineStr">
        <is>
          <t>Business and Financial Services</t>
        </is>
      </c>
      <c r="D97" t="inlineStr">
        <is>
          <t>NLD</t>
        </is>
      </c>
      <c r="E97" t="inlineStr">
        <is>
          <t>Netherlands</t>
        </is>
      </c>
      <c r="F97" t="inlineStr">
        <is>
          <t>DEU</t>
        </is>
      </c>
      <c r="G97" t="inlineStr">
        <is>
          <t>Germany</t>
        </is>
      </c>
      <c r="H97" t="n">
        <v>1928000000</v>
      </c>
      <c r="I97" t="n">
        <v>-17000000</v>
      </c>
      <c r="J97" t="n">
        <v>13000000</v>
      </c>
      <c r="K97" t="n">
        <v>3070</v>
      </c>
      <c r="L97" t="n">
        <v>10000000</v>
      </c>
      <c r="M97" t="n">
        <v>17000000</v>
      </c>
      <c r="N97" t="n">
        <v>1927000000</v>
      </c>
      <c r="O97" t="n">
        <v>1000000</v>
      </c>
      <c r="P97" t="inlineStr"/>
      <c r="Q97" t="inlineStr"/>
      <c r="R97" t="inlineStr">
        <is>
          <t>EUR</t>
        </is>
      </c>
    </row>
    <row r="98">
      <c r="A98" t="inlineStr">
        <is>
          <t>REPSOL</t>
        </is>
      </c>
      <c r="B98" t="n">
        <v>2018</v>
      </c>
      <c r="C98" t="inlineStr">
        <is>
          <t>Oil, Gas and Mining</t>
        </is>
      </c>
      <c r="D98" t="inlineStr">
        <is>
          <t>ESP</t>
        </is>
      </c>
      <c r="E98" t="inlineStr">
        <is>
          <t>Spain</t>
        </is>
      </c>
      <c r="F98" t="inlineStr">
        <is>
          <t>DEU</t>
        </is>
      </c>
      <c r="G98" t="inlineStr">
        <is>
          <t>Germany</t>
        </is>
      </c>
      <c r="H98" t="n">
        <v>2000000</v>
      </c>
      <c r="I98" t="n">
        <v>1000000</v>
      </c>
      <c r="J98" t="n">
        <v>1000000</v>
      </c>
      <c r="K98" t="n">
        <v>3</v>
      </c>
      <c r="L98" t="n">
        <v>0</v>
      </c>
      <c r="M98" t="n">
        <v>0</v>
      </c>
      <c r="N98" t="n">
        <v>100000</v>
      </c>
      <c r="O98" t="n">
        <v>1900000</v>
      </c>
      <c r="P98" t="n">
        <v>0</v>
      </c>
      <c r="Q98" t="n">
        <v>1000000</v>
      </c>
      <c r="R98" t="inlineStr">
        <is>
          <t>EUR</t>
        </is>
      </c>
    </row>
    <row r="99">
      <c r="A99" t="inlineStr">
        <is>
          <t>REPSOL</t>
        </is>
      </c>
      <c r="B99" t="n">
        <v>2019</v>
      </c>
      <c r="C99" t="inlineStr">
        <is>
          <t>Oil, Gas and Mining</t>
        </is>
      </c>
      <c r="D99" t="inlineStr">
        <is>
          <t>ESP</t>
        </is>
      </c>
      <c r="E99" t="inlineStr">
        <is>
          <t>Spain</t>
        </is>
      </c>
      <c r="F99" t="inlineStr">
        <is>
          <t>DEU</t>
        </is>
      </c>
      <c r="G99" t="inlineStr">
        <is>
          <t>Germany</t>
        </is>
      </c>
      <c r="H99" t="n">
        <v>2000000</v>
      </c>
      <c r="I99" t="n">
        <v>1000000</v>
      </c>
      <c r="J99" t="n">
        <v>0</v>
      </c>
      <c r="K99" t="n">
        <v>5</v>
      </c>
      <c r="L99" t="n">
        <v>0</v>
      </c>
      <c r="M99" t="n">
        <v>0</v>
      </c>
      <c r="N99" t="n">
        <v>20000</v>
      </c>
      <c r="O99" t="n">
        <v>1980000</v>
      </c>
      <c r="P99" t="n">
        <v>0</v>
      </c>
      <c r="Q99" t="n">
        <v>2000000</v>
      </c>
      <c r="R99" t="inlineStr">
        <is>
          <t>EUR</t>
        </is>
      </c>
    </row>
    <row r="100">
      <c r="A100" t="inlineStr">
        <is>
          <t>REPSOL</t>
        </is>
      </c>
      <c r="B100" t="n">
        <v>2020</v>
      </c>
      <c r="C100" t="inlineStr">
        <is>
          <t>Oil, Gas and Mining</t>
        </is>
      </c>
      <c r="D100" t="inlineStr">
        <is>
          <t>ESP</t>
        </is>
      </c>
      <c r="E100" t="inlineStr">
        <is>
          <t>Spain</t>
        </is>
      </c>
      <c r="F100" t="inlineStr">
        <is>
          <t>DEU</t>
        </is>
      </c>
      <c r="G100" t="inlineStr">
        <is>
          <t>Germany</t>
        </is>
      </c>
      <c r="H100" t="n">
        <v>1000000</v>
      </c>
      <c r="I100" t="n">
        <v>0</v>
      </c>
      <c r="J100" t="n">
        <v>0</v>
      </c>
      <c r="K100" t="n">
        <v>5</v>
      </c>
      <c r="L100" t="n">
        <v>0</v>
      </c>
      <c r="M100" t="n">
        <v>0</v>
      </c>
      <c r="N100" t="n">
        <v>30000</v>
      </c>
      <c r="O100" t="n">
        <v>970000</v>
      </c>
      <c r="P100" t="n">
        <v>0</v>
      </c>
      <c r="Q100" t="n">
        <v>2000000</v>
      </c>
      <c r="R100" t="inlineStr">
        <is>
          <t>EUR</t>
        </is>
      </c>
    </row>
    <row r="101">
      <c r="A101" t="inlineStr">
        <is>
          <t>REPSOL</t>
        </is>
      </c>
      <c r="B101" t="n">
        <v>2021</v>
      </c>
      <c r="C101" t="inlineStr">
        <is>
          <t>Oil, Gas and Mining</t>
        </is>
      </c>
      <c r="D101" t="inlineStr">
        <is>
          <t>ESP</t>
        </is>
      </c>
      <c r="E101" t="inlineStr">
        <is>
          <t>Spain</t>
        </is>
      </c>
      <c r="F101" t="inlineStr">
        <is>
          <t>DEU</t>
        </is>
      </c>
      <c r="G101" t="inlineStr">
        <is>
          <t>Germany</t>
        </is>
      </c>
      <c r="H101" t="n">
        <v>2000000</v>
      </c>
      <c r="I101" t="n">
        <v>2000000</v>
      </c>
      <c r="J101" t="n">
        <v>0</v>
      </c>
      <c r="K101" t="n">
        <v>4</v>
      </c>
      <c r="L101" t="n">
        <v>0</v>
      </c>
      <c r="M101" t="n">
        <v>1000000</v>
      </c>
      <c r="N101" t="n">
        <v>20000</v>
      </c>
      <c r="O101" t="n">
        <v>1980000</v>
      </c>
      <c r="P101" t="n">
        <v>0</v>
      </c>
      <c r="Q101" t="n">
        <v>2000000</v>
      </c>
      <c r="R101" t="inlineStr">
        <is>
          <t>EUR</t>
        </is>
      </c>
    </row>
    <row r="102">
      <c r="A102" t="inlineStr">
        <is>
          <t>RIO TINTO</t>
        </is>
      </c>
      <c r="B102" t="n">
        <v>2018</v>
      </c>
      <c r="C102" t="inlineStr">
        <is>
          <t>Oil, Gas and Mining</t>
        </is>
      </c>
      <c r="D102" t="inlineStr">
        <is>
          <t>AUS</t>
        </is>
      </c>
      <c r="E102" t="inlineStr">
        <is>
          <t>Australia</t>
        </is>
      </c>
      <c r="F102" t="inlineStr">
        <is>
          <t>DEU</t>
        </is>
      </c>
      <c r="G102" t="inlineStr">
        <is>
          <t>Germany</t>
        </is>
      </c>
      <c r="H102" t="n">
        <v>10716895.8509738</v>
      </c>
      <c r="I102" t="n">
        <v>3379147.33276884</v>
      </c>
      <c r="J102" t="n">
        <v>-123898.391193903</v>
      </c>
      <c r="K102" t="n">
        <v>19</v>
      </c>
      <c r="L102" t="n">
        <v>22057.5783234547</v>
      </c>
      <c r="M102" t="n">
        <v>401566.469093988</v>
      </c>
      <c r="N102" t="n">
        <v>44738.3573243014</v>
      </c>
      <c r="O102" t="n">
        <v>10672157.4936494</v>
      </c>
      <c r="P102" t="inlineStr"/>
      <c r="Q102" t="inlineStr"/>
      <c r="R102" t="inlineStr">
        <is>
          <t>EUR</t>
        </is>
      </c>
    </row>
    <row r="103">
      <c r="A103" t="inlineStr">
        <is>
          <t>RIO TINTO</t>
        </is>
      </c>
      <c r="B103" t="n">
        <v>2019</v>
      </c>
      <c r="C103" t="inlineStr">
        <is>
          <t>Oil, Gas and Mining</t>
        </is>
      </c>
      <c r="D103" t="inlineStr">
        <is>
          <t>AUS</t>
        </is>
      </c>
      <c r="E103" t="inlineStr">
        <is>
          <t>Australia</t>
        </is>
      </c>
      <c r="F103" t="inlineStr">
        <is>
          <t>DEU</t>
        </is>
      </c>
      <c r="G103" t="inlineStr">
        <is>
          <t>Germany</t>
        </is>
      </c>
      <c r="H103" t="n">
        <v>8842150.960250109</v>
      </c>
      <c r="I103" t="n">
        <v>3519457.79365788</v>
      </c>
      <c r="J103" t="n">
        <v>625377.4006252791</v>
      </c>
      <c r="K103" t="n">
        <v>22</v>
      </c>
      <c r="L103" t="n">
        <v>54361.7686467173</v>
      </c>
      <c r="M103" t="n">
        <v>79038.8566324252</v>
      </c>
      <c r="N103" t="n">
        <v>509154.979901742</v>
      </c>
      <c r="O103" t="n">
        <v>8332995.98034837</v>
      </c>
      <c r="P103" t="inlineStr"/>
      <c r="Q103" t="inlineStr"/>
      <c r="R103" t="inlineStr">
        <is>
          <t>EUR</t>
        </is>
      </c>
    </row>
    <row r="104">
      <c r="A104" t="inlineStr">
        <is>
          <t>RIO TINTO</t>
        </is>
      </c>
      <c r="B104" t="n">
        <v>2020</v>
      </c>
      <c r="C104" t="inlineStr">
        <is>
          <t>Oil, Gas and Mining</t>
        </is>
      </c>
      <c r="D104" t="inlineStr">
        <is>
          <t>AUS</t>
        </is>
      </c>
      <c r="E104" t="inlineStr">
        <is>
          <t>Australia</t>
        </is>
      </c>
      <c r="F104" t="inlineStr">
        <is>
          <t>DEU</t>
        </is>
      </c>
      <c r="G104" t="inlineStr">
        <is>
          <t>Germany</t>
        </is>
      </c>
      <c r="H104" t="n">
        <v>5836082.99772369</v>
      </c>
      <c r="I104" t="n">
        <v>4692134.47732446</v>
      </c>
      <c r="J104" t="n">
        <v>396965.50516547</v>
      </c>
      <c r="K104" t="n">
        <v>18</v>
      </c>
      <c r="L104" t="n">
        <v>1866243.21484854</v>
      </c>
      <c r="M104" t="n">
        <v>810240.763438977</v>
      </c>
      <c r="N104" t="n">
        <v>439248.81807039</v>
      </c>
      <c r="O104" t="n">
        <v>5396834.1796533</v>
      </c>
      <c r="P104" t="inlineStr"/>
      <c r="Q104" t="inlineStr"/>
      <c r="R104" t="inlineStr">
        <is>
          <t>EUR</t>
        </is>
      </c>
    </row>
    <row r="105">
      <c r="A105" t="inlineStr">
        <is>
          <t>RIO TINTO</t>
        </is>
      </c>
      <c r="B105" t="n">
        <v>2021</v>
      </c>
      <c r="C105" t="inlineStr">
        <is>
          <t>Oil, Gas and Mining</t>
        </is>
      </c>
      <c r="D105" t="inlineStr">
        <is>
          <t>AUS</t>
        </is>
      </c>
      <c r="E105" t="inlineStr">
        <is>
          <t>Australia</t>
        </is>
      </c>
      <c r="F105" t="inlineStr">
        <is>
          <t>DEU</t>
        </is>
      </c>
      <c r="G105" t="inlineStr">
        <is>
          <t>Germany</t>
        </is>
      </c>
      <c r="H105" t="n">
        <v>4793489.4732392</v>
      </c>
      <c r="I105" t="n">
        <v>8070377.94876131</v>
      </c>
      <c r="J105" t="n">
        <v>202452.862095206</v>
      </c>
      <c r="K105" t="n">
        <v>18</v>
      </c>
      <c r="L105" t="n">
        <v>1585673.45903441</v>
      </c>
      <c r="M105" t="n">
        <v>291047.60294242</v>
      </c>
      <c r="N105" t="n">
        <v>309455.483216369</v>
      </c>
      <c r="O105" t="n">
        <v>4484033.99002283</v>
      </c>
      <c r="P105" t="inlineStr"/>
      <c r="Q105" t="inlineStr"/>
      <c r="R105" t="inlineStr">
        <is>
          <t>EUR</t>
        </is>
      </c>
    </row>
    <row r="106">
      <c r="A106" t="inlineStr">
        <is>
          <t>SAES</t>
        </is>
      </c>
      <c r="B106" t="n">
        <v>2020</v>
      </c>
      <c r="C106" t="inlineStr">
        <is>
          <t>Industrial, Electric and Electronic Machinery</t>
        </is>
      </c>
      <c r="D106" t="inlineStr">
        <is>
          <t>ITA</t>
        </is>
      </c>
      <c r="E106" t="inlineStr">
        <is>
          <t>Italy</t>
        </is>
      </c>
      <c r="F106" t="inlineStr">
        <is>
          <t>DEU</t>
        </is>
      </c>
      <c r="G106" t="inlineStr">
        <is>
          <t>Germany</t>
        </is>
      </c>
      <c r="H106" t="inlineStr"/>
      <c r="I106" t="n">
        <v>-41000</v>
      </c>
      <c r="J106" t="inlineStr"/>
      <c r="K106" t="n">
        <v>1</v>
      </c>
      <c r="L106" t="n">
        <v>1000</v>
      </c>
      <c r="M106" t="n">
        <v>-10000</v>
      </c>
      <c r="N106" t="inlineStr"/>
      <c r="O106" t="inlineStr"/>
      <c r="P106" t="inlineStr"/>
      <c r="Q106" t="inlineStr"/>
      <c r="R106" t="inlineStr">
        <is>
          <t>EUR</t>
        </is>
      </c>
    </row>
    <row r="107">
      <c r="A107" t="inlineStr">
        <is>
          <t>SHELL</t>
        </is>
      </c>
      <c r="B107" t="n">
        <v>2018</v>
      </c>
      <c r="C107" t="inlineStr">
        <is>
          <t>Oil, Gas and Mining</t>
        </is>
      </c>
      <c r="D107" t="inlineStr">
        <is>
          <t>GBR</t>
        </is>
      </c>
      <c r="E107" t="inlineStr">
        <is>
          <t>United Kingdom</t>
        </is>
      </c>
      <c r="F107" t="inlineStr">
        <is>
          <t>DEU</t>
        </is>
      </c>
      <c r="G107" t="inlineStr">
        <is>
          <t>Germany</t>
        </is>
      </c>
      <c r="H107" t="n">
        <v>26513992596.9517</v>
      </c>
      <c r="I107" t="n">
        <v>137669923.793395</v>
      </c>
      <c r="J107" t="n">
        <v>58519557.1549534</v>
      </c>
      <c r="K107" t="n">
        <v>3339</v>
      </c>
      <c r="L107" t="n">
        <v>4557269917.01947</v>
      </c>
      <c r="M107" t="n">
        <v>36482850.9737511</v>
      </c>
      <c r="N107" t="n">
        <v>16874842378.4928</v>
      </c>
      <c r="O107" t="n">
        <v>9639150218.458929</v>
      </c>
      <c r="P107" t="inlineStr"/>
      <c r="Q107" t="n">
        <v>-2027616022.86198</v>
      </c>
      <c r="R107" t="inlineStr">
        <is>
          <t>EUR</t>
        </is>
      </c>
    </row>
    <row r="108">
      <c r="A108" t="inlineStr">
        <is>
          <t>SHELL</t>
        </is>
      </c>
      <c r="B108" t="n">
        <v>2019</v>
      </c>
      <c r="C108" t="inlineStr">
        <is>
          <t>Oil, Gas and Mining</t>
        </is>
      </c>
      <c r="D108" t="inlineStr">
        <is>
          <t>GBR</t>
        </is>
      </c>
      <c r="E108" t="inlineStr">
        <is>
          <t>United Kingdom</t>
        </is>
      </c>
      <c r="F108" t="inlineStr">
        <is>
          <t>DEU</t>
        </is>
      </c>
      <c r="G108" t="inlineStr">
        <is>
          <t>Germany</t>
        </is>
      </c>
      <c r="H108" t="n">
        <v>25378940769.9866</v>
      </c>
      <c r="I108" t="n">
        <v>-33531967.842787</v>
      </c>
      <c r="J108" t="n">
        <v>42699358.642251</v>
      </c>
      <c r="K108" t="n">
        <v>3996</v>
      </c>
      <c r="L108" t="n">
        <v>5552735041.5364</v>
      </c>
      <c r="M108" t="n">
        <v>38768395.7123716</v>
      </c>
      <c r="N108" t="n">
        <v>16030760196.5163</v>
      </c>
      <c r="O108" t="n">
        <v>9348180573.470301</v>
      </c>
      <c r="P108" t="n">
        <v>1361858528.8075</v>
      </c>
      <c r="Q108" t="n">
        <v>-2177907980.34837</v>
      </c>
      <c r="R108" t="inlineStr">
        <is>
          <t>EUR</t>
        </is>
      </c>
    </row>
    <row r="109">
      <c r="A109" t="inlineStr">
        <is>
          <t>SHELL</t>
        </is>
      </c>
      <c r="B109" t="n">
        <v>2020</v>
      </c>
      <c r="C109" t="inlineStr">
        <is>
          <t>Oil, Gas and Mining</t>
        </is>
      </c>
      <c r="D109" t="inlineStr">
        <is>
          <t>GBR</t>
        </is>
      </c>
      <c r="E109" t="inlineStr">
        <is>
          <t>United Kingdom</t>
        </is>
      </c>
      <c r="F109" t="inlineStr">
        <is>
          <t>DEU</t>
        </is>
      </c>
      <c r="G109" t="inlineStr">
        <is>
          <t>Germany</t>
        </is>
      </c>
      <c r="H109" t="n">
        <v>18021262393.6263</v>
      </c>
      <c r="I109" t="n">
        <v>-2940544997.37349</v>
      </c>
      <c r="J109" t="n">
        <v>2747337.59411662</v>
      </c>
      <c r="K109" t="n">
        <v>3911</v>
      </c>
      <c r="L109" t="n">
        <v>3513574113.11504</v>
      </c>
      <c r="M109" t="n">
        <v>27397562.5984941</v>
      </c>
      <c r="N109" t="n">
        <v>11302590414.1131</v>
      </c>
      <c r="O109" t="n">
        <v>6718671979.51322</v>
      </c>
      <c r="P109" t="n">
        <v>1255362143.23236</v>
      </c>
      <c r="Q109" t="n">
        <v>-4519107043.42497</v>
      </c>
      <c r="R109" t="inlineStr">
        <is>
          <t>EUR</t>
        </is>
      </c>
    </row>
    <row r="110">
      <c r="A110" t="inlineStr">
        <is>
          <t>SHELL</t>
        </is>
      </c>
      <c r="B110" t="n">
        <v>2021</v>
      </c>
      <c r="C110" t="inlineStr">
        <is>
          <t>Oil, Gas and Mining</t>
        </is>
      </c>
      <c r="D110" t="inlineStr">
        <is>
          <t>GBR</t>
        </is>
      </c>
      <c r="E110" t="inlineStr">
        <is>
          <t>United Kingdom</t>
        </is>
      </c>
      <c r="F110" t="inlineStr">
        <is>
          <t>DEU</t>
        </is>
      </c>
      <c r="G110" t="inlineStr">
        <is>
          <t>Germany</t>
        </is>
      </c>
      <c r="H110" t="n">
        <v>27203355345.3961</v>
      </c>
      <c r="I110" t="n">
        <v>-46169248.3300922</v>
      </c>
      <c r="J110" t="n">
        <v>32361059.4402638</v>
      </c>
      <c r="K110" t="n">
        <v>4049</v>
      </c>
      <c r="L110" t="n">
        <v>3906789646.5714</v>
      </c>
      <c r="M110" t="n">
        <v>26392865.4772977</v>
      </c>
      <c r="N110" t="n">
        <v>17099122167.0753</v>
      </c>
      <c r="O110" t="n">
        <v>10104233178.3208</v>
      </c>
      <c r="P110" t="n">
        <v>1303563457.34337</v>
      </c>
      <c r="Q110" t="n">
        <v>-4721103645.04946</v>
      </c>
      <c r="R110" t="inlineStr">
        <is>
          <t>EUR</t>
        </is>
      </c>
    </row>
    <row r="111">
      <c r="A111" t="inlineStr">
        <is>
          <t>SOL</t>
        </is>
      </c>
      <c r="B111" t="n">
        <v>2020</v>
      </c>
      <c r="C111" t="inlineStr">
        <is>
          <t>Unclassified Manufacturing</t>
        </is>
      </c>
      <c r="D111" t="inlineStr">
        <is>
          <t>ITA</t>
        </is>
      </c>
      <c r="E111" t="inlineStr">
        <is>
          <t>Italy</t>
        </is>
      </c>
      <c r="F111" t="inlineStr">
        <is>
          <t>DEU</t>
        </is>
      </c>
      <c r="G111" t="inlineStr">
        <is>
          <t>Germany</t>
        </is>
      </c>
      <c r="H111" t="n">
        <v>148590000</v>
      </c>
      <c r="I111" t="n">
        <v>17270000</v>
      </c>
      <c r="J111" t="n">
        <v>4320000</v>
      </c>
      <c r="K111" t="n">
        <v>668</v>
      </c>
      <c r="L111" t="n">
        <v>69900000</v>
      </c>
      <c r="M111" t="n">
        <v>5290000</v>
      </c>
      <c r="N111" t="n">
        <v>127490000</v>
      </c>
      <c r="O111" t="n">
        <v>21100000</v>
      </c>
      <c r="P111" t="inlineStr"/>
      <c r="Q111" t="inlineStr"/>
      <c r="R111" t="inlineStr">
        <is>
          <t>EUR</t>
        </is>
      </c>
    </row>
    <row r="112">
      <c r="A112" t="inlineStr">
        <is>
          <t>SOL</t>
        </is>
      </c>
      <c r="B112" t="n">
        <v>2021</v>
      </c>
      <c r="C112" t="inlineStr">
        <is>
          <t>Unclassified Manufacturing</t>
        </is>
      </c>
      <c r="D112" t="inlineStr">
        <is>
          <t>ITA</t>
        </is>
      </c>
      <c r="E112" t="inlineStr">
        <is>
          <t>Italy</t>
        </is>
      </c>
      <c r="F112" t="inlineStr">
        <is>
          <t>DEU</t>
        </is>
      </c>
      <c r="G112" t="inlineStr">
        <is>
          <t>Germany</t>
        </is>
      </c>
      <c r="H112" t="n">
        <v>164330000</v>
      </c>
      <c r="I112" t="n">
        <v>25240000</v>
      </c>
      <c r="J112" t="n">
        <v>6030000</v>
      </c>
      <c r="K112" t="n">
        <v>729</v>
      </c>
      <c r="L112" t="n">
        <v>62660000</v>
      </c>
      <c r="M112" t="n">
        <v>5980000</v>
      </c>
      <c r="N112" t="n">
        <v>141360000</v>
      </c>
      <c r="O112" t="n">
        <v>22970000</v>
      </c>
      <c r="P112" t="inlineStr"/>
      <c r="Q112" t="inlineStr"/>
      <c r="R112" t="inlineStr">
        <is>
          <t>EUR</t>
        </is>
      </c>
    </row>
    <row r="113">
      <c r="A113" t="inlineStr">
        <is>
          <t>SSE</t>
        </is>
      </c>
      <c r="B113" t="n">
        <v>2021</v>
      </c>
      <c r="C113" t="inlineStr">
        <is>
          <t>Utilities</t>
        </is>
      </c>
      <c r="D113" t="inlineStr">
        <is>
          <t>GBR</t>
        </is>
      </c>
      <c r="E113" t="inlineStr">
        <is>
          <t>United Kingdom</t>
        </is>
      </c>
      <c r="F113" t="inlineStr">
        <is>
          <t>DEU</t>
        </is>
      </c>
      <c r="G113" t="inlineStr">
        <is>
          <t>Germany</t>
        </is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inlineStr"/>
      <c r="O113" t="inlineStr"/>
      <c r="P113" t="inlineStr"/>
      <c r="Q113" t="inlineStr"/>
      <c r="R113" t="inlineStr">
        <is>
          <t>EUR</t>
        </is>
      </c>
    </row>
    <row r="114">
      <c r="A114" t="inlineStr">
        <is>
          <t>SWISS LIFE</t>
        </is>
      </c>
      <c r="B114" t="n">
        <v>2020</v>
      </c>
      <c r="C114" t="inlineStr">
        <is>
          <t>Business and Financial Services</t>
        </is>
      </c>
      <c r="D114" t="inlineStr">
        <is>
          <t>CHE</t>
        </is>
      </c>
      <c r="E114" t="inlineStr">
        <is>
          <t>Switzerland</t>
        </is>
      </c>
      <c r="F114" t="inlineStr">
        <is>
          <t>DEU</t>
        </is>
      </c>
      <c r="G114" t="inlineStr">
        <is>
          <t>Germany</t>
        </is>
      </c>
      <c r="H114" t="n">
        <v>2838860345.63288</v>
      </c>
      <c r="I114" t="n">
        <v>171882297.991593</v>
      </c>
      <c r="J114" t="n">
        <v>46707146.1933676</v>
      </c>
      <c r="K114" t="n">
        <v>2296</v>
      </c>
      <c r="L114" t="n">
        <v>2496964035.49743</v>
      </c>
      <c r="M114" t="n">
        <v>51377860.8127043</v>
      </c>
      <c r="N114" t="n">
        <v>2426903316.20738</v>
      </c>
      <c r="O114" t="n">
        <v>411957029.425502</v>
      </c>
      <c r="P114" t="inlineStr"/>
      <c r="Q114" t="inlineStr"/>
      <c r="R114" t="inlineStr">
        <is>
          <t>EUR</t>
        </is>
      </c>
    </row>
    <row r="115">
      <c r="A115" t="inlineStr">
        <is>
          <t>SWISS LIFE</t>
        </is>
      </c>
      <c r="B115" t="n">
        <v>2021</v>
      </c>
      <c r="C115" t="inlineStr">
        <is>
          <t>Business and Financial Services</t>
        </is>
      </c>
      <c r="D115" t="inlineStr">
        <is>
          <t>CHE</t>
        </is>
      </c>
      <c r="E115" t="inlineStr">
        <is>
          <t>Switzerland</t>
        </is>
      </c>
      <c r="F115" t="inlineStr">
        <is>
          <t>DEU</t>
        </is>
      </c>
      <c r="G115" t="inlineStr">
        <is>
          <t>Germany</t>
        </is>
      </c>
      <c r="H115" t="n">
        <v>3225418555.17528</v>
      </c>
      <c r="I115" t="n">
        <v>177596892.054389</v>
      </c>
      <c r="J115" t="n">
        <v>35149384.8857645</v>
      </c>
      <c r="K115" t="n">
        <v>2343</v>
      </c>
      <c r="L115" t="n">
        <v>3004347423.92008</v>
      </c>
      <c r="M115" t="n">
        <v>51799093.5158635</v>
      </c>
      <c r="N115" t="n">
        <v>2748126907.77911</v>
      </c>
      <c r="O115" t="n">
        <v>477291647.396171</v>
      </c>
      <c r="P115" t="inlineStr"/>
      <c r="Q115" t="inlineStr"/>
      <c r="R115" t="inlineStr">
        <is>
          <t>EUR</t>
        </is>
      </c>
    </row>
    <row r="116">
      <c r="A116" t="inlineStr">
        <is>
          <t>TELEFONICA</t>
        </is>
      </c>
      <c r="B116" t="n">
        <v>2019</v>
      </c>
      <c r="C116" t="inlineStr">
        <is>
          <t>Communications</t>
        </is>
      </c>
      <c r="D116" t="inlineStr">
        <is>
          <t>ESP</t>
        </is>
      </c>
      <c r="E116" t="inlineStr">
        <is>
          <t>Spain</t>
        </is>
      </c>
      <c r="F116" t="inlineStr">
        <is>
          <t>DEU</t>
        </is>
      </c>
      <c r="G116" t="inlineStr">
        <is>
          <t>Germany</t>
        </is>
      </c>
      <c r="H116" t="n">
        <v>7932000000</v>
      </c>
      <c r="I116" t="n">
        <v>281000000</v>
      </c>
      <c r="J116" t="n">
        <v>52000000</v>
      </c>
      <c r="K116" t="n">
        <v>8235</v>
      </c>
      <c r="L116" t="n">
        <v>3959000000</v>
      </c>
      <c r="M116" t="n">
        <v>81000000</v>
      </c>
      <c r="N116" t="n">
        <v>7870000000</v>
      </c>
      <c r="O116" t="n">
        <v>62000000</v>
      </c>
      <c r="P116" t="inlineStr"/>
      <c r="Q116" t="inlineStr"/>
      <c r="R116" t="inlineStr">
        <is>
          <t>EUR</t>
        </is>
      </c>
    </row>
    <row r="117">
      <c r="A117" t="inlineStr">
        <is>
          <t>TELEFONICA</t>
        </is>
      </c>
      <c r="B117" t="n">
        <v>2020</v>
      </c>
      <c r="C117" t="inlineStr">
        <is>
          <t>Communications</t>
        </is>
      </c>
      <c r="D117" t="inlineStr">
        <is>
          <t>ESP</t>
        </is>
      </c>
      <c r="E117" t="inlineStr">
        <is>
          <t>Spain</t>
        </is>
      </c>
      <c r="F117" t="inlineStr">
        <is>
          <t>DEU</t>
        </is>
      </c>
      <c r="G117" t="inlineStr">
        <is>
          <t>Germany</t>
        </is>
      </c>
      <c r="H117" t="n">
        <v>8251000000</v>
      </c>
      <c r="I117" t="n">
        <v>318000000</v>
      </c>
      <c r="J117" t="n">
        <v>52000000</v>
      </c>
      <c r="K117" t="n">
        <v>7980</v>
      </c>
      <c r="L117" t="n">
        <v>4073000000</v>
      </c>
      <c r="M117" t="n">
        <v>-175000000</v>
      </c>
      <c r="N117" t="n">
        <v>8183000000</v>
      </c>
      <c r="O117" t="n">
        <v>68000000</v>
      </c>
      <c r="P117" t="inlineStr"/>
      <c r="Q117" t="inlineStr"/>
      <c r="R117" t="inlineStr">
        <is>
          <t>EUR</t>
        </is>
      </c>
    </row>
    <row r="118">
      <c r="A118" t="inlineStr">
        <is>
          <t>TELEFONICA</t>
        </is>
      </c>
      <c r="B118" t="n">
        <v>2021</v>
      </c>
      <c r="C118" t="inlineStr">
        <is>
          <t>Communications</t>
        </is>
      </c>
      <c r="D118" t="inlineStr">
        <is>
          <t>ESP</t>
        </is>
      </c>
      <c r="E118" t="inlineStr">
        <is>
          <t>Spain</t>
        </is>
      </c>
      <c r="F118" t="inlineStr">
        <is>
          <t>DEU</t>
        </is>
      </c>
      <c r="G118" t="inlineStr">
        <is>
          <t>Germany</t>
        </is>
      </c>
      <c r="H118" t="n">
        <v>8711000000</v>
      </c>
      <c r="I118" t="n">
        <v>663000000</v>
      </c>
      <c r="J118" t="n">
        <v>54000000</v>
      </c>
      <c r="K118" t="n">
        <v>7576</v>
      </c>
      <c r="L118" t="n">
        <v>3492000000</v>
      </c>
      <c r="M118" t="n">
        <v>41000000</v>
      </c>
      <c r="N118" t="n">
        <v>8642000000</v>
      </c>
      <c r="O118" t="n">
        <v>69000000</v>
      </c>
      <c r="P118" t="inlineStr"/>
      <c r="Q118" t="inlineStr"/>
      <c r="R118" t="inlineStr">
        <is>
          <t>EUR</t>
        </is>
      </c>
    </row>
    <row r="119">
      <c r="A119" t="inlineStr">
        <is>
          <t>TOTALENERGIES</t>
        </is>
      </c>
      <c r="B119" t="n">
        <v>2019</v>
      </c>
      <c r="C119" t="inlineStr">
        <is>
          <t>Oil, Gas and Mining</t>
        </is>
      </c>
      <c r="D119" t="inlineStr">
        <is>
          <t>FRA</t>
        </is>
      </c>
      <c r="E119" t="inlineStr">
        <is>
          <t>France</t>
        </is>
      </c>
      <c r="F119" t="inlineStr">
        <is>
          <t>DEU</t>
        </is>
      </c>
      <c r="G119" t="inlineStr">
        <is>
          <t>Germany</t>
        </is>
      </c>
      <c r="H119" t="n">
        <v>33669495310.4064</v>
      </c>
      <c r="I119" t="n">
        <v>439104064.314426</v>
      </c>
      <c r="J119" t="n">
        <v>86516301.9205002</v>
      </c>
      <c r="K119" t="n">
        <v>3993</v>
      </c>
      <c r="L119" t="n">
        <v>1482617239.83921</v>
      </c>
      <c r="M119" t="n">
        <v>89255917.8204556</v>
      </c>
      <c r="N119" t="n">
        <v>16672727110.3171</v>
      </c>
      <c r="O119" t="n">
        <v>16996768200.0893</v>
      </c>
      <c r="P119" t="n">
        <v>961637338.097365</v>
      </c>
      <c r="Q119" t="n">
        <v>2765655203.21572</v>
      </c>
      <c r="R119" t="inlineStr">
        <is>
          <t>EUR</t>
        </is>
      </c>
    </row>
    <row r="120">
      <c r="A120" t="inlineStr">
        <is>
          <t>TOTALENERGIES</t>
        </is>
      </c>
      <c r="B120" t="n">
        <v>2020</v>
      </c>
      <c r="C120" t="inlineStr">
        <is>
          <t>Oil, Gas and Mining</t>
        </is>
      </c>
      <c r="D120" t="inlineStr">
        <is>
          <t>FRA</t>
        </is>
      </c>
      <c r="E120" t="inlineStr">
        <is>
          <t>France</t>
        </is>
      </c>
      <c r="F120" t="inlineStr">
        <is>
          <t>DEU</t>
        </is>
      </c>
      <c r="G120" t="inlineStr">
        <is>
          <t>Germany</t>
        </is>
      </c>
      <c r="H120" t="n">
        <v>24474010681.1417</v>
      </c>
      <c r="I120" t="n">
        <v>-78023988.7935563</v>
      </c>
      <c r="J120" t="n">
        <v>139330239.887936</v>
      </c>
      <c r="K120" t="n">
        <v>5229</v>
      </c>
      <c r="L120" t="n">
        <v>1648152687.79548</v>
      </c>
      <c r="M120" t="n">
        <v>64599894.9395903</v>
      </c>
      <c r="N120" t="n">
        <v>13207929434.4248</v>
      </c>
      <c r="O120" t="n">
        <v>11266081246.7169</v>
      </c>
      <c r="P120" t="n">
        <v>1059003677.11434</v>
      </c>
      <c r="Q120" t="n">
        <v>2658064261.95062</v>
      </c>
      <c r="R120" t="inlineStr">
        <is>
          <t>EUR</t>
        </is>
      </c>
    </row>
    <row r="121">
      <c r="A121" t="inlineStr">
        <is>
          <t>TOTALENERGIES</t>
        </is>
      </c>
      <c r="B121" t="n">
        <v>2021</v>
      </c>
      <c r="C121" t="inlineStr">
        <is>
          <t>Oil, Gas and Mining</t>
        </is>
      </c>
      <c r="D121" t="inlineStr">
        <is>
          <t>FRA</t>
        </is>
      </c>
      <c r="E121" t="inlineStr">
        <is>
          <t>France</t>
        </is>
      </c>
      <c r="F121" t="inlineStr">
        <is>
          <t>DEU</t>
        </is>
      </c>
      <c r="G121" t="inlineStr">
        <is>
          <t>Germany</t>
        </is>
      </c>
      <c r="H121" t="n">
        <v>29059930667.1176</v>
      </c>
      <c r="I121" t="n">
        <v>266117358.586286</v>
      </c>
      <c r="J121" t="n">
        <v>53533440.4329078</v>
      </c>
      <c r="K121" t="n">
        <v>4663</v>
      </c>
      <c r="L121" t="n">
        <v>1641984442.37761</v>
      </c>
      <c r="M121" t="n">
        <v>66963727.0651898</v>
      </c>
      <c r="N121" t="n">
        <v>14662590682.337</v>
      </c>
      <c r="O121" t="n">
        <v>14397339984.7806</v>
      </c>
      <c r="P121" t="n">
        <v>915843409.148558</v>
      </c>
      <c r="Q121" t="n">
        <v>1768784137.98935</v>
      </c>
      <c r="R121" t="inlineStr">
        <is>
          <t>EUR</t>
        </is>
      </c>
    </row>
    <row r="122">
      <c r="A122" t="inlineStr">
        <is>
          <t>UNIPER</t>
        </is>
      </c>
      <c r="B122" t="n">
        <v>2021</v>
      </c>
      <c r="C122" t="inlineStr">
        <is>
          <t>Utilities</t>
        </is>
      </c>
      <c r="D122" t="inlineStr">
        <is>
          <t>DEU</t>
        </is>
      </c>
      <c r="E122" t="inlineStr">
        <is>
          <t>Germany</t>
        </is>
      </c>
      <c r="F122" t="inlineStr">
        <is>
          <t>DEU</t>
        </is>
      </c>
      <c r="G122" t="inlineStr">
        <is>
          <t>Germany</t>
        </is>
      </c>
      <c r="H122" t="inlineStr"/>
      <c r="I122" t="n">
        <v>-3244000000</v>
      </c>
      <c r="J122" t="inlineStr"/>
      <c r="K122" t="n">
        <v>4831</v>
      </c>
      <c r="L122" t="inlineStr"/>
      <c r="M122" t="n">
        <v>483000000</v>
      </c>
      <c r="N122" t="inlineStr"/>
      <c r="O122" t="inlineStr"/>
      <c r="P122" t="n">
        <v>70218000000</v>
      </c>
      <c r="Q122" t="n">
        <v>16156000000</v>
      </c>
      <c r="R122" t="inlineStr">
        <is>
          <t>EUR</t>
        </is>
      </c>
    </row>
    <row r="123">
      <c r="A123" t="inlineStr">
        <is>
          <t>VODAFONE</t>
        </is>
      </c>
      <c r="B123" t="n">
        <v>2017</v>
      </c>
      <c r="C123" t="inlineStr">
        <is>
          <t>Communications</t>
        </is>
      </c>
      <c r="D123" t="inlineStr">
        <is>
          <t>GBR</t>
        </is>
      </c>
      <c r="E123" t="inlineStr">
        <is>
          <t>United Kingdom</t>
        </is>
      </c>
      <c r="F123" t="inlineStr">
        <is>
          <t>DEU</t>
        </is>
      </c>
      <c r="G123" t="inlineStr">
        <is>
          <t>Germany</t>
        </is>
      </c>
      <c r="H123" t="n">
        <v>11333751430</v>
      </c>
      <c r="I123" t="n">
        <v>-930019642</v>
      </c>
      <c r="J123" t="n">
        <v>88878095</v>
      </c>
      <c r="K123" t="n">
        <v>15714</v>
      </c>
      <c r="L123" t="n">
        <v>8182170523</v>
      </c>
      <c r="M123" t="n">
        <v>56485596</v>
      </c>
      <c r="N123" t="n">
        <v>10705998144</v>
      </c>
      <c r="O123" t="n">
        <v>627753286</v>
      </c>
      <c r="P123" t="n">
        <v>4506069899</v>
      </c>
      <c r="Q123" t="n">
        <v>-13444269829</v>
      </c>
      <c r="R123" t="inlineStr">
        <is>
          <t>EUR</t>
        </is>
      </c>
    </row>
    <row r="124">
      <c r="A124" t="inlineStr">
        <is>
          <t>VODAFONE</t>
        </is>
      </c>
      <c r="B124" t="n">
        <v>2018</v>
      </c>
      <c r="C124" t="inlineStr">
        <is>
          <t>Communications</t>
        </is>
      </c>
      <c r="D124" t="inlineStr">
        <is>
          <t>GBR</t>
        </is>
      </c>
      <c r="E124" t="inlineStr">
        <is>
          <t>United Kingdom</t>
        </is>
      </c>
      <c r="F124" t="inlineStr">
        <is>
          <t>DEU</t>
        </is>
      </c>
      <c r="G124" t="inlineStr">
        <is>
          <t>Germany</t>
        </is>
      </c>
      <c r="H124" t="n">
        <v>11577213742</v>
      </c>
      <c r="I124" t="n">
        <v>387465539</v>
      </c>
      <c r="J124" t="n">
        <v>86589439</v>
      </c>
      <c r="K124" t="n">
        <v>14946</v>
      </c>
      <c r="L124" t="n">
        <v>7744146631</v>
      </c>
      <c r="M124" t="n">
        <v>117677243</v>
      </c>
      <c r="N124" t="n">
        <v>10933178838</v>
      </c>
      <c r="O124" t="n">
        <v>644034904</v>
      </c>
      <c r="P124" t="n">
        <v>4478357622</v>
      </c>
      <c r="Q124" t="n">
        <v>-12950578874</v>
      </c>
      <c r="R124" t="inlineStr">
        <is>
          <t>EUR</t>
        </is>
      </c>
    </row>
    <row r="125">
      <c r="A125" t="inlineStr">
        <is>
          <t>VODAFONE</t>
        </is>
      </c>
      <c r="B125" t="n">
        <v>2019</v>
      </c>
      <c r="C125" t="inlineStr">
        <is>
          <t>Communications</t>
        </is>
      </c>
      <c r="D125" t="inlineStr">
        <is>
          <t>GBR</t>
        </is>
      </c>
      <c r="E125" t="inlineStr">
        <is>
          <t>United Kingdom</t>
        </is>
      </c>
      <c r="F125" t="inlineStr">
        <is>
          <t>DEU</t>
        </is>
      </c>
      <c r="G125" t="inlineStr">
        <is>
          <t>Germany</t>
        </is>
      </c>
      <c r="H125" t="n">
        <v>11009798792</v>
      </c>
      <c r="I125" t="n">
        <v>107934816</v>
      </c>
      <c r="J125" t="n">
        <v>109217124</v>
      </c>
      <c r="K125" t="n">
        <v>14620</v>
      </c>
      <c r="L125" t="n">
        <v>7521664557</v>
      </c>
      <c r="M125" t="n">
        <v>110309851</v>
      </c>
      <c r="N125" t="n">
        <v>10423902770</v>
      </c>
      <c r="O125" t="n">
        <v>585896022</v>
      </c>
      <c r="P125" t="n">
        <v>4486789461</v>
      </c>
      <c r="Q125" t="n">
        <v>-11779111539</v>
      </c>
      <c r="R125" t="inlineStr">
        <is>
          <t>EUR</t>
        </is>
      </c>
    </row>
    <row r="126">
      <c r="A126" t="inlineStr">
        <is>
          <t>YARA</t>
        </is>
      </c>
      <c r="B126" t="n">
        <v>2019</v>
      </c>
      <c r="C126" t="inlineStr">
        <is>
          <t>Chemicals, Cosmetics and Paints</t>
        </is>
      </c>
      <c r="D126" t="inlineStr">
        <is>
          <t>NOR</t>
        </is>
      </c>
      <c r="E126" t="inlineStr">
        <is>
          <t>Norway</t>
        </is>
      </c>
      <c r="F126" t="inlineStr">
        <is>
          <t>DEU</t>
        </is>
      </c>
      <c r="G126" t="inlineStr">
        <is>
          <t>Germany</t>
        </is>
      </c>
      <c r="H126" t="n">
        <v>866458240.2858419</v>
      </c>
      <c r="I126" t="n">
        <v>133095131.755248</v>
      </c>
      <c r="J126" t="n">
        <v>-8039303.2603841</v>
      </c>
      <c r="K126" t="n">
        <v>819</v>
      </c>
      <c r="L126" t="inlineStr"/>
      <c r="M126" t="n">
        <v>23224653.8633318</v>
      </c>
      <c r="N126" t="inlineStr"/>
      <c r="O126" t="inlineStr"/>
      <c r="P126" t="inlineStr"/>
      <c r="Q126" t="n">
        <v>100044662.795891</v>
      </c>
      <c r="R126" t="inlineStr">
        <is>
          <t>EUR</t>
        </is>
      </c>
    </row>
    <row r="127">
      <c r="A127" t="inlineStr">
        <is>
          <t>YARA</t>
        </is>
      </c>
      <c r="B127" t="n">
        <v>2020</v>
      </c>
      <c r="C127" t="inlineStr">
        <is>
          <t>Chemicals, Cosmetics and Paints</t>
        </is>
      </c>
      <c r="D127" t="inlineStr">
        <is>
          <t>NOR</t>
        </is>
      </c>
      <c r="E127" t="inlineStr">
        <is>
          <t>Norway</t>
        </is>
      </c>
      <c r="F127" t="inlineStr">
        <is>
          <t>DEU</t>
        </is>
      </c>
      <c r="G127" t="inlineStr">
        <is>
          <t>Germany</t>
        </is>
      </c>
      <c r="H127" t="n">
        <v>781824549.115741</v>
      </c>
      <c r="I127" t="n">
        <v>232008404.832779</v>
      </c>
      <c r="J127" t="inlineStr"/>
      <c r="K127" t="n">
        <v>810</v>
      </c>
      <c r="L127" t="inlineStr"/>
      <c r="M127" t="n">
        <v>25389599.0194362</v>
      </c>
      <c r="N127" t="inlineStr"/>
      <c r="O127" t="inlineStr"/>
      <c r="P127" t="inlineStr"/>
      <c r="Q127" t="n">
        <v>159341621.432324</v>
      </c>
      <c r="R127" t="inlineStr">
        <is>
          <t>EUR</t>
        </is>
      </c>
    </row>
    <row r="128">
      <c r="A128" t="inlineStr">
        <is>
          <t>YARA</t>
        </is>
      </c>
      <c r="B128" t="n">
        <v>2021</v>
      </c>
      <c r="C128" t="inlineStr">
        <is>
          <t>Chemicals, Cosmetics and Paints</t>
        </is>
      </c>
      <c r="D128" t="inlineStr">
        <is>
          <t>NOR</t>
        </is>
      </c>
      <c r="E128" t="inlineStr">
        <is>
          <t>Norway</t>
        </is>
      </c>
      <c r="F128" t="inlineStr">
        <is>
          <t>DEU</t>
        </is>
      </c>
      <c r="G128" t="inlineStr">
        <is>
          <t>Germany</t>
        </is>
      </c>
      <c r="H128" t="n">
        <v>1140610467.57419</v>
      </c>
      <c r="I128" t="n">
        <v>211380738.987063</v>
      </c>
      <c r="J128" t="n">
        <v>59186606.9163778</v>
      </c>
      <c r="K128" t="n">
        <v>883</v>
      </c>
      <c r="L128" t="inlineStr"/>
      <c r="M128" t="n">
        <v>10991798.4273273</v>
      </c>
      <c r="N128" t="inlineStr"/>
      <c r="O128" t="inlineStr"/>
      <c r="P128" t="inlineStr"/>
      <c r="Q128" t="n">
        <v>230827766.973873</v>
      </c>
      <c r="R128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</row>
    <row r="2">
      <c r="A2" t="inlineStr">
        <is>
          <t>ADYEN</t>
        </is>
      </c>
      <c r="B2" t="n">
        <v>2020</v>
      </c>
      <c r="C2" t="inlineStr">
        <is>
          <t>Business and Financial Services</t>
        </is>
      </c>
      <c r="D2" t="inlineStr">
        <is>
          <t>NLD</t>
        </is>
      </c>
      <c r="E2" t="inlineStr">
        <is>
          <t>Netherlands</t>
        </is>
      </c>
      <c r="F2" t="inlineStr">
        <is>
          <t>DEU</t>
        </is>
      </c>
      <c r="G2" t="inlineStr">
        <is>
          <t>Germany</t>
        </is>
      </c>
      <c r="H2" t="inlineStr"/>
      <c r="I2" t="n">
        <v>1981000</v>
      </c>
      <c r="J2" t="inlineStr"/>
      <c r="K2" t="n">
        <v>42</v>
      </c>
      <c r="L2" t="inlineStr"/>
      <c r="M2" t="n">
        <v>508000</v>
      </c>
      <c r="N2" t="inlineStr"/>
      <c r="O2" t="inlineStr"/>
      <c r="P2" t="inlineStr"/>
      <c r="Q2" t="inlineStr"/>
      <c r="R2" t="inlineStr">
        <is>
          <t>EUR</t>
        </is>
      </c>
      <c r="S2" t="n">
        <v>0.2564361433619384</v>
      </c>
      <c r="T2" t="n">
        <v>14.49911232568069</v>
      </c>
      <c r="U2" t="n">
        <v>0.06575949562234464</v>
      </c>
    </row>
    <row r="3">
      <c r="A3" t="inlineStr">
        <is>
          <t>ADYEN</t>
        </is>
      </c>
      <c r="B3" t="n">
        <v>2021</v>
      </c>
      <c r="C3" t="inlineStr">
        <is>
          <t>Business and Financial Services</t>
        </is>
      </c>
      <c r="D3" t="inlineStr">
        <is>
          <t>NLD</t>
        </is>
      </c>
      <c r="E3" t="inlineStr">
        <is>
          <t>Netherlands</t>
        </is>
      </c>
      <c r="F3" t="inlineStr">
        <is>
          <t>DEU</t>
        </is>
      </c>
      <c r="G3" t="inlineStr">
        <is>
          <t>Germany</t>
        </is>
      </c>
      <c r="H3" t="inlineStr"/>
      <c r="I3" t="n">
        <v>3630000</v>
      </c>
      <c r="J3" t="n">
        <v>687000</v>
      </c>
      <c r="K3" t="n">
        <v>58</v>
      </c>
      <c r="L3" t="inlineStr"/>
      <c r="M3" t="n">
        <v>1343000</v>
      </c>
      <c r="N3" t="inlineStr"/>
      <c r="O3" t="inlineStr"/>
      <c r="P3" t="inlineStr"/>
      <c r="Q3" t="inlineStr"/>
      <c r="R3" t="inlineStr">
        <is>
          <t>EUR</t>
        </is>
      </c>
      <c r="S3" t="n">
        <v>0.3699724517906336</v>
      </c>
      <c r="T3" t="n">
        <v>15.10474320624103</v>
      </c>
      <c r="U3" t="n">
        <v>0.1368796150839727</v>
      </c>
    </row>
    <row r="4">
      <c r="A4" t="inlineStr">
        <is>
          <t>ALLIANZ</t>
        </is>
      </c>
      <c r="B4" t="n">
        <v>2021</v>
      </c>
      <c r="C4" t="inlineStr">
        <is>
          <t>Business and Financial Services</t>
        </is>
      </c>
      <c r="D4" t="inlineStr">
        <is>
          <t>DEU</t>
        </is>
      </c>
      <c r="E4" t="inlineStr">
        <is>
          <t>Germany</t>
        </is>
      </c>
      <c r="F4" t="inlineStr">
        <is>
          <t>DEU</t>
        </is>
      </c>
      <c r="G4" t="inlineStr">
        <is>
          <t>Germany</t>
        </is>
      </c>
      <c r="H4" t="n">
        <v>54357000000</v>
      </c>
      <c r="I4" t="n">
        <v>2128500000</v>
      </c>
      <c r="J4" t="n">
        <v>735700000</v>
      </c>
      <c r="K4" t="n">
        <v>46081</v>
      </c>
      <c r="L4" t="n">
        <v>5143300000</v>
      </c>
      <c r="M4" t="n">
        <v>513500000</v>
      </c>
      <c r="N4" t="inlineStr"/>
      <c r="O4" t="inlineStr"/>
      <c r="P4" t="inlineStr"/>
      <c r="Q4" t="inlineStr"/>
      <c r="R4" t="inlineStr">
        <is>
          <t>EUR</t>
        </is>
      </c>
      <c r="S4" t="n">
        <v>0.2412497063659854</v>
      </c>
      <c r="T4" t="n">
        <v>21.47868334323248</v>
      </c>
      <c r="U4" t="n">
        <v>0.0582014208216742</v>
      </c>
    </row>
    <row r="5">
      <c r="A5" t="inlineStr">
        <is>
          <t>ANGLO AMERICAN</t>
        </is>
      </c>
      <c r="B5" t="n">
        <v>2018</v>
      </c>
      <c r="C5" t="inlineStr">
        <is>
          <t>Oil, Gas and Mining</t>
        </is>
      </c>
      <c r="D5" t="inlineStr">
        <is>
          <t>GBR</t>
        </is>
      </c>
      <c r="E5" t="inlineStr">
        <is>
          <t>United Kingdom</t>
        </is>
      </c>
      <c r="F5" t="inlineStr">
        <is>
          <t>DEU</t>
        </is>
      </c>
      <c r="G5" t="inlineStr">
        <is>
          <t>Germany</t>
        </is>
      </c>
      <c r="H5" t="n">
        <v>73755453.00592721</v>
      </c>
      <c r="I5" t="n">
        <v>4840286.19813717</v>
      </c>
      <c r="J5" t="n">
        <v>733981.371718882</v>
      </c>
      <c r="K5" t="n">
        <v>306</v>
      </c>
      <c r="L5" t="n">
        <v>27671773.0736664</v>
      </c>
      <c r="M5" t="n">
        <v>1374700.25402202</v>
      </c>
      <c r="N5" t="n">
        <v>68198905.1651143</v>
      </c>
      <c r="O5" t="n">
        <v>5556547.84081287</v>
      </c>
      <c r="P5" t="n">
        <v>25669592.7180356</v>
      </c>
      <c r="Q5" t="n">
        <v>-16634852.6672312</v>
      </c>
      <c r="R5" t="inlineStr">
        <is>
          <t>EUR</t>
        </is>
      </c>
      <c r="S5" t="n">
        <v>0.2840121839388519</v>
      </c>
      <c r="T5" t="n">
        <v>15.39248440879112</v>
      </c>
      <c r="U5" t="n">
        <v>0.08066292062571623</v>
      </c>
    </row>
    <row r="6">
      <c r="A6" t="inlineStr">
        <is>
          <t>ANGLO AMERICAN</t>
        </is>
      </c>
      <c r="B6" t="n">
        <v>2019</v>
      </c>
      <c r="C6" t="inlineStr">
        <is>
          <t>Oil, Gas and Mining</t>
        </is>
      </c>
      <c r="D6" t="inlineStr">
        <is>
          <t>GBR</t>
        </is>
      </c>
      <c r="E6" t="inlineStr">
        <is>
          <t>United Kingdom</t>
        </is>
      </c>
      <c r="F6" t="inlineStr">
        <is>
          <t>DEU</t>
        </is>
      </c>
      <c r="G6" t="inlineStr">
        <is>
          <t>Germany</t>
        </is>
      </c>
      <c r="H6" t="n">
        <v>71554278.69584639</v>
      </c>
      <c r="I6" t="n">
        <v>4125112.9968736</v>
      </c>
      <c r="J6" t="n">
        <v>1108326.03841</v>
      </c>
      <c r="K6" t="n">
        <v>371</v>
      </c>
      <c r="L6" t="n">
        <v>29189007.5926753</v>
      </c>
      <c r="M6" t="n">
        <v>1229036.17686467</v>
      </c>
      <c r="N6" t="n">
        <v>66753826.7083519</v>
      </c>
      <c r="O6" t="n">
        <v>4800451.98749442</v>
      </c>
      <c r="P6" t="n">
        <v>27079757.9276463</v>
      </c>
      <c r="Q6" t="n">
        <v>-10359847.2532381</v>
      </c>
      <c r="R6" t="inlineStr">
        <is>
          <t>EUR</t>
        </is>
      </c>
      <c r="S6" t="n">
        <v>0.2979400025638448</v>
      </c>
      <c r="T6" t="n">
        <v>15.23260397055721</v>
      </c>
      <c r="U6" t="n">
        <v>0.08876824512774384</v>
      </c>
    </row>
    <row r="7">
      <c r="A7" t="inlineStr">
        <is>
          <t>ANGLO AMERICAN</t>
        </is>
      </c>
      <c r="B7" t="n">
        <v>2020</v>
      </c>
      <c r="C7" t="inlineStr">
        <is>
          <t>Oil, Gas and Mining</t>
        </is>
      </c>
      <c r="D7" t="inlineStr">
        <is>
          <t>GBR</t>
        </is>
      </c>
      <c r="E7" t="inlineStr">
        <is>
          <t>United Kingdom</t>
        </is>
      </c>
      <c r="F7" t="inlineStr">
        <is>
          <t>DEU</t>
        </is>
      </c>
      <c r="G7" t="inlineStr">
        <is>
          <t>Germany</t>
        </is>
      </c>
      <c r="H7" t="n">
        <v>75174390.6496235</v>
      </c>
      <c r="I7" t="n">
        <v>7972561.72299072</v>
      </c>
      <c r="J7" t="n">
        <v>1205961.30274908</v>
      </c>
      <c r="K7" t="n">
        <v>354</v>
      </c>
      <c r="L7" t="n">
        <v>32713429.3468744</v>
      </c>
      <c r="M7" t="n">
        <v>2154587.63789179</v>
      </c>
      <c r="N7" t="n">
        <v>71673191.20994569</v>
      </c>
      <c r="O7" t="n">
        <v>3501199.43967781</v>
      </c>
      <c r="P7" t="n">
        <v>26541576.7816494</v>
      </c>
      <c r="Q7" t="n">
        <v>-16689655.0516547</v>
      </c>
      <c r="R7" t="inlineStr">
        <is>
          <t>EUR</t>
        </is>
      </c>
      <c r="S7" t="n">
        <v>0.2702503552501249</v>
      </c>
      <c r="T7" t="n">
        <v>15.8915164198233</v>
      </c>
      <c r="U7" t="n">
        <v>0.07303525451281873</v>
      </c>
    </row>
    <row r="8">
      <c r="A8" t="inlineStr">
        <is>
          <t>ANGLO AMERICAN</t>
        </is>
      </c>
      <c r="B8" t="n">
        <v>2021</v>
      </c>
      <c r="C8" t="inlineStr">
        <is>
          <t>Oil, Gas and Mining</t>
        </is>
      </c>
      <c r="D8" t="inlineStr">
        <is>
          <t>GBR</t>
        </is>
      </c>
      <c r="E8" t="inlineStr">
        <is>
          <t>United Kingdom</t>
        </is>
      </c>
      <c r="F8" t="inlineStr">
        <is>
          <t>DEU</t>
        </is>
      </c>
      <c r="G8" t="inlineStr">
        <is>
          <t>Germany</t>
        </is>
      </c>
      <c r="H8" t="n">
        <v>87380003.38209181</v>
      </c>
      <c r="I8" t="n">
        <v>10910811.7020377</v>
      </c>
      <c r="J8" t="n">
        <v>2289207.74499028</v>
      </c>
      <c r="K8" t="n">
        <v>338</v>
      </c>
      <c r="L8" t="n">
        <v>33856792.0859051</v>
      </c>
      <c r="M8" t="n">
        <v>3407040.66965418</v>
      </c>
      <c r="N8" t="n">
        <v>82078949.8604887</v>
      </c>
      <c r="O8" t="n">
        <v>5301053.52160311</v>
      </c>
      <c r="P8" t="n">
        <v>25632695.5271836</v>
      </c>
      <c r="Q8" t="n">
        <v>-24054006.9332882</v>
      </c>
      <c r="R8" t="inlineStr">
        <is>
          <t>EUR</t>
        </is>
      </c>
      <c r="S8" t="n">
        <v>0.3122628052519578</v>
      </c>
      <c r="T8" t="n">
        <v>16.20526475486186</v>
      </c>
      <c r="U8" t="n">
        <v>0.09750805954382211</v>
      </c>
    </row>
    <row r="9">
      <c r="A9" t="inlineStr">
        <is>
          <t>AQUAFIL</t>
        </is>
      </c>
      <c r="B9" t="n">
        <v>2021</v>
      </c>
      <c r="C9" t="inlineStr">
        <is>
          <t>Clothing and Luxury Goods</t>
        </is>
      </c>
      <c r="D9" t="inlineStr">
        <is>
          <t>ITA</t>
        </is>
      </c>
      <c r="E9" t="inlineStr">
        <is>
          <t>Italy</t>
        </is>
      </c>
      <c r="F9" t="inlineStr">
        <is>
          <t>DEU</t>
        </is>
      </c>
      <c r="G9" t="inlineStr">
        <is>
          <t>Germany</t>
        </is>
      </c>
      <c r="H9" t="inlineStr"/>
      <c r="I9" t="n">
        <v>476000</v>
      </c>
      <c r="J9" t="n">
        <v>422000</v>
      </c>
      <c r="K9" t="inlineStr"/>
      <c r="L9" t="inlineStr"/>
      <c r="M9" t="n">
        <v>0</v>
      </c>
      <c r="N9" t="inlineStr"/>
      <c r="O9" t="inlineStr"/>
      <c r="P9" t="inlineStr"/>
      <c r="Q9" t="inlineStr"/>
      <c r="R9" t="inlineStr">
        <is>
          <t>EUR</t>
        </is>
      </c>
      <c r="S9" t="n">
        <v>0</v>
      </c>
      <c r="T9" t="n">
        <v>13.07317313321356</v>
      </c>
      <c r="U9" t="n">
        <v>0</v>
      </c>
    </row>
    <row r="10">
      <c r="A10" t="inlineStr">
        <is>
          <t>AXA</t>
        </is>
      </c>
      <c r="B10" t="n">
        <v>2021</v>
      </c>
      <c r="C10" t="inlineStr">
        <is>
          <t>Business and Financial Services</t>
        </is>
      </c>
      <c r="D10" t="inlineStr">
        <is>
          <t>FRA</t>
        </is>
      </c>
      <c r="E10" t="inlineStr">
        <is>
          <t>France</t>
        </is>
      </c>
      <c r="F10" t="inlineStr">
        <is>
          <t>DEU</t>
        </is>
      </c>
      <c r="G10" t="inlineStr">
        <is>
          <t>Germany</t>
        </is>
      </c>
      <c r="H10" t="n">
        <v>12824479000</v>
      </c>
      <c r="I10" t="n">
        <v>1064479000</v>
      </c>
      <c r="J10" t="n">
        <v>223338000</v>
      </c>
      <c r="K10" t="n">
        <v>9421</v>
      </c>
      <c r="L10" t="n">
        <v>377229000</v>
      </c>
      <c r="M10" t="n">
        <v>238612000</v>
      </c>
      <c r="N10" t="n">
        <v>12439250000</v>
      </c>
      <c r="O10" t="n">
        <v>385229000</v>
      </c>
      <c r="P10" t="n">
        <v>494996000</v>
      </c>
      <c r="Q10" t="n">
        <v>2651074000</v>
      </c>
      <c r="R10" t="inlineStr">
        <is>
          <t>EUR</t>
        </is>
      </c>
      <c r="S10" t="n">
        <v>0.2241584850429177</v>
      </c>
      <c r="T10" t="n">
        <v>20.78575131453159</v>
      </c>
      <c r="U10" t="n">
        <v>0.05024702641673597</v>
      </c>
    </row>
    <row r="11">
      <c r="A11" t="inlineStr">
        <is>
          <t>BONAVA</t>
        </is>
      </c>
      <c r="B11" t="n">
        <v>2019</v>
      </c>
      <c r="C11" t="inlineStr">
        <is>
          <t>Construction</t>
        </is>
      </c>
      <c r="D11" t="inlineStr">
        <is>
          <t>SWE</t>
        </is>
      </c>
      <c r="E11" t="inlineStr">
        <is>
          <t>Sweden</t>
        </is>
      </c>
      <c r="F11" t="inlineStr">
        <is>
          <t>DEU</t>
        </is>
      </c>
      <c r="G11" t="inlineStr">
        <is>
          <t>Germany</t>
        </is>
      </c>
      <c r="H11" t="n">
        <v>884116686.026197</v>
      </c>
      <c r="I11" t="n">
        <v>55434361.749346</v>
      </c>
      <c r="J11" t="n">
        <v>22759252.4388286</v>
      </c>
      <c r="K11" t="inlineStr"/>
      <c r="L11" t="n">
        <v>790624321.235988</v>
      </c>
      <c r="M11" t="n">
        <v>9538109.94324352</v>
      </c>
      <c r="N11" t="n">
        <v>604489522.244572</v>
      </c>
      <c r="O11" t="n">
        <v>279627163.781624</v>
      </c>
      <c r="P11" t="inlineStr"/>
      <c r="Q11" t="inlineStr"/>
      <c r="R11" t="inlineStr">
        <is>
          <t>EUR</t>
        </is>
      </c>
      <c r="S11" t="n">
        <v>0.17206132879046</v>
      </c>
      <c r="T11" t="n">
        <v>17.83071020762625</v>
      </c>
      <c r="U11" t="n">
        <v>0.02960510086513876</v>
      </c>
    </row>
    <row r="12">
      <c r="A12" t="inlineStr">
        <is>
          <t>BONAVA</t>
        </is>
      </c>
      <c r="B12" t="n">
        <v>2020</v>
      </c>
      <c r="C12" t="inlineStr">
        <is>
          <t>Construction</t>
        </is>
      </c>
      <c r="D12" t="inlineStr">
        <is>
          <t>SWE</t>
        </is>
      </c>
      <c r="E12" t="inlineStr">
        <is>
          <t>Sweden</t>
        </is>
      </c>
      <c r="F12" t="inlineStr">
        <is>
          <t>DEU</t>
        </is>
      </c>
      <c r="G12" t="inlineStr">
        <is>
          <t>Germany</t>
        </is>
      </c>
      <c r="H12" t="n">
        <v>1144800091.56112</v>
      </c>
      <c r="I12" t="n">
        <v>68861590.1113994</v>
      </c>
      <c r="J12" t="n">
        <v>9251487.868151991</v>
      </c>
      <c r="K12" t="inlineStr"/>
      <c r="L12" t="n">
        <v>920189226.308561</v>
      </c>
      <c r="M12" t="n">
        <v>14687929.1927362</v>
      </c>
      <c r="N12" t="n">
        <v>732488936.365024</v>
      </c>
      <c r="O12" t="n">
        <v>412311155.196093</v>
      </c>
      <c r="P12" t="inlineStr"/>
      <c r="Q12" t="inlineStr"/>
      <c r="R12" t="inlineStr">
        <is>
          <t>EUR</t>
        </is>
      </c>
      <c r="S12" t="n">
        <v>0.2132963988919673</v>
      </c>
      <c r="T12" t="n">
        <v>18.04760910755401</v>
      </c>
      <c r="U12" t="n">
        <v>0.04549535378028124</v>
      </c>
    </row>
    <row r="13">
      <c r="A13" t="inlineStr">
        <is>
          <t>BP</t>
        </is>
      </c>
      <c r="B13" t="n">
        <v>2019</v>
      </c>
      <c r="C13" t="inlineStr">
        <is>
          <t>Oil, Gas and Mining</t>
        </is>
      </c>
      <c r="D13" t="inlineStr">
        <is>
          <t>GBR</t>
        </is>
      </c>
      <c r="E13" t="inlineStr">
        <is>
          <t>United Kingdom</t>
        </is>
      </c>
      <c r="F13" t="inlineStr">
        <is>
          <t>DEU</t>
        </is>
      </c>
      <c r="G13" t="inlineStr">
        <is>
          <t>Germany</t>
        </is>
      </c>
      <c r="H13" t="n">
        <v>24558629614.1134</v>
      </c>
      <c r="I13" t="n">
        <v>116393742.742296</v>
      </c>
      <c r="J13" t="n">
        <v>-69281091.5587316</v>
      </c>
      <c r="K13" t="n">
        <v>4676</v>
      </c>
      <c r="L13" t="n">
        <v>4202949057.61501</v>
      </c>
      <c r="M13" t="n">
        <v>11301734.7029924</v>
      </c>
      <c r="N13" t="n">
        <v>17486716834.301</v>
      </c>
      <c r="O13" t="n">
        <v>7071912779.81242</v>
      </c>
      <c r="P13" t="n">
        <v>2167941436.35552</v>
      </c>
      <c r="Q13" t="n">
        <v>1050696567.21751</v>
      </c>
      <c r="R13" t="inlineStr">
        <is>
          <t>EUR</t>
        </is>
      </c>
      <c r="S13" t="n">
        <v>0.09709916045929756</v>
      </c>
      <c r="T13" t="n">
        <v>18.57248933530719</v>
      </c>
      <c r="U13" t="n">
        <v>0.009428246961900415</v>
      </c>
    </row>
    <row r="14">
      <c r="A14" t="inlineStr">
        <is>
          <t>BUZZI UNICEM</t>
        </is>
      </c>
      <c r="B14" t="n">
        <v>2020</v>
      </c>
      <c r="C14" t="inlineStr">
        <is>
          <t>Metals and Cement</t>
        </is>
      </c>
      <c r="D14" t="inlineStr">
        <is>
          <t>ITA</t>
        </is>
      </c>
      <c r="E14" t="inlineStr">
        <is>
          <t>Italy</t>
        </is>
      </c>
      <c r="F14" t="inlineStr">
        <is>
          <t>DEU</t>
        </is>
      </c>
      <c r="G14" t="inlineStr">
        <is>
          <t>Germany</t>
        </is>
      </c>
      <c r="H14" t="n">
        <v>893598865</v>
      </c>
      <c r="I14" t="n">
        <v>282228120</v>
      </c>
      <c r="J14" t="n">
        <v>9846088</v>
      </c>
      <c r="K14" t="n">
        <v>1778</v>
      </c>
      <c r="L14" t="n">
        <v>410355777</v>
      </c>
      <c r="M14" t="n">
        <v>16550095</v>
      </c>
      <c r="N14" t="n">
        <v>752949260</v>
      </c>
      <c r="O14" t="n">
        <v>140649605</v>
      </c>
      <c r="P14" t="n">
        <v>140150012</v>
      </c>
      <c r="Q14" t="n">
        <v>143428997</v>
      </c>
      <c r="R14" t="inlineStr">
        <is>
          <t>EUR</t>
        </is>
      </c>
      <c r="S14" t="n">
        <v>0.05864084344253152</v>
      </c>
      <c r="T14" t="n">
        <v>19.45822623806008</v>
      </c>
      <c r="U14" t="n">
        <v>0.003438748519651493</v>
      </c>
    </row>
    <row r="15">
      <c r="A15" t="inlineStr">
        <is>
          <t>BUZZI UNICEM</t>
        </is>
      </c>
      <c r="B15" t="n">
        <v>2021</v>
      </c>
      <c r="C15" t="inlineStr">
        <is>
          <t>Metals and Cement</t>
        </is>
      </c>
      <c r="D15" t="inlineStr">
        <is>
          <t>ITA</t>
        </is>
      </c>
      <c r="E15" t="inlineStr">
        <is>
          <t>Italy</t>
        </is>
      </c>
      <c r="F15" t="inlineStr">
        <is>
          <t>DEU</t>
        </is>
      </c>
      <c r="G15" t="inlineStr">
        <is>
          <t>Germany</t>
        </is>
      </c>
      <c r="H15" t="n">
        <v>864577406</v>
      </c>
      <c r="I15" t="n">
        <v>212596255</v>
      </c>
      <c r="J15" t="n">
        <v>33070034</v>
      </c>
      <c r="K15" t="n">
        <v>1770</v>
      </c>
      <c r="L15" t="n">
        <v>416678258</v>
      </c>
      <c r="M15" t="n">
        <v>24887443</v>
      </c>
      <c r="N15" t="n">
        <v>747231640</v>
      </c>
      <c r="O15" t="n">
        <v>117345766</v>
      </c>
      <c r="P15" t="n">
        <v>133655862</v>
      </c>
      <c r="Q15" t="n">
        <v>143699952</v>
      </c>
      <c r="R15" t="inlineStr">
        <is>
          <t>EUR</t>
        </is>
      </c>
      <c r="S15" t="n">
        <v>0.1170643528033925</v>
      </c>
      <c r="T15" t="n">
        <v>19.17490540847708</v>
      </c>
      <c r="U15" t="n">
        <v>0.01370406269727715</v>
      </c>
    </row>
    <row r="16">
      <c r="A16" t="inlineStr">
        <is>
          <t>CEMBRE</t>
        </is>
      </c>
      <c r="B16" t="n">
        <v>2020</v>
      </c>
      <c r="C16" t="inlineStr">
        <is>
          <t>Industrial, Electric and Electronic Machinery</t>
        </is>
      </c>
      <c r="D16" t="inlineStr">
        <is>
          <t>ITA</t>
        </is>
      </c>
      <c r="E16" t="inlineStr">
        <is>
          <t>Italy</t>
        </is>
      </c>
      <c r="F16" t="inlineStr">
        <is>
          <t>DEU</t>
        </is>
      </c>
      <c r="G16" t="inlineStr">
        <is>
          <t>Germany</t>
        </is>
      </c>
      <c r="H16" t="n">
        <v>15662000</v>
      </c>
      <c r="I16" t="n">
        <v>380000</v>
      </c>
      <c r="J16" t="n">
        <v>155000</v>
      </c>
      <c r="K16" t="n">
        <v>58</v>
      </c>
      <c r="L16" t="n">
        <v>2822000</v>
      </c>
      <c r="M16" t="n">
        <v>8000</v>
      </c>
      <c r="N16" t="n">
        <v>15587000</v>
      </c>
      <c r="O16" t="n">
        <v>75000</v>
      </c>
      <c r="P16" t="inlineStr"/>
      <c r="Q16" t="inlineStr"/>
      <c r="R16" t="inlineStr">
        <is>
          <t>EUR</t>
        </is>
      </c>
      <c r="S16" t="n">
        <v>0.02105263157894737</v>
      </c>
      <c r="T16" t="n">
        <v>12.84792653170257</v>
      </c>
      <c r="U16" t="n">
        <v>0.0004432132963988919</v>
      </c>
    </row>
    <row r="17">
      <c r="A17" t="inlineStr">
        <is>
          <t>CEMBRE</t>
        </is>
      </c>
      <c r="B17" t="n">
        <v>2021</v>
      </c>
      <c r="C17" t="inlineStr">
        <is>
          <t>Industrial, Electric and Electronic Machinery</t>
        </is>
      </c>
      <c r="D17" t="inlineStr">
        <is>
          <t>ITA</t>
        </is>
      </c>
      <c r="E17" t="inlineStr">
        <is>
          <t>Italy</t>
        </is>
      </c>
      <c r="F17" t="inlineStr">
        <is>
          <t>DEU</t>
        </is>
      </c>
      <c r="G17" t="inlineStr">
        <is>
          <t>Germany</t>
        </is>
      </c>
      <c r="H17" t="n">
        <v>19003000</v>
      </c>
      <c r="I17" t="n">
        <v>1554000</v>
      </c>
      <c r="J17" t="n">
        <v>82000</v>
      </c>
      <c r="K17" t="n">
        <v>56</v>
      </c>
      <c r="L17" t="n">
        <v>2736000</v>
      </c>
      <c r="M17" t="n">
        <v>208000</v>
      </c>
      <c r="N17" t="n">
        <v>18875000</v>
      </c>
      <c r="O17" t="n">
        <v>128000</v>
      </c>
      <c r="P17" t="inlineStr"/>
      <c r="Q17" t="inlineStr"/>
      <c r="R17" t="inlineStr">
        <is>
          <t>EUR</t>
        </is>
      </c>
      <c r="S17" t="n">
        <v>0.1338481338481338</v>
      </c>
      <c r="T17" t="n">
        <v>14.25634280990973</v>
      </c>
      <c r="U17" t="n">
        <v>0.01791532293462796</v>
      </c>
    </row>
    <row r="18">
      <c r="A18" t="inlineStr">
        <is>
          <t>COLOPLAST</t>
        </is>
      </c>
      <c r="B18" t="n">
        <v>2021</v>
      </c>
      <c r="C18" t="inlineStr">
        <is>
          <t>Industrial, Electric and Electronic Machinery</t>
        </is>
      </c>
      <c r="D18" t="inlineStr">
        <is>
          <t>DNK</t>
        </is>
      </c>
      <c r="E18" t="inlineStr">
        <is>
          <t>Denmark</t>
        </is>
      </c>
      <c r="F18" t="inlineStr">
        <is>
          <t>DEU</t>
        </is>
      </c>
      <c r="G18" t="inlineStr">
        <is>
          <t>Germany</t>
        </is>
      </c>
      <c r="H18" t="n">
        <v>256964098.426785</v>
      </c>
      <c r="I18" t="n">
        <v>17716283.4476267</v>
      </c>
      <c r="J18" t="n">
        <v>4344224.82183676</v>
      </c>
      <c r="K18" t="n">
        <v>639</v>
      </c>
      <c r="L18" t="inlineStr"/>
      <c r="M18" t="n">
        <v>5904128.00860562</v>
      </c>
      <c r="N18" t="inlineStr"/>
      <c r="O18" t="inlineStr"/>
      <c r="P18" t="inlineStr"/>
      <c r="Q18" t="n">
        <v>23166733.8980772</v>
      </c>
      <c r="R18" t="inlineStr">
        <is>
          <t>EUR</t>
        </is>
      </c>
      <c r="S18" t="n">
        <v>0.333259965390571</v>
      </c>
      <c r="T18" t="n">
        <v>16.6899947434246</v>
      </c>
      <c r="U18" t="n">
        <v>0.1110622045321246</v>
      </c>
    </row>
    <row r="19">
      <c r="A19" t="inlineStr">
        <is>
          <t>CYIENT</t>
        </is>
      </c>
      <c r="B19" t="n">
        <v>2021</v>
      </c>
      <c r="C19" t="inlineStr">
        <is>
          <t>Business and Financial Services</t>
        </is>
      </c>
      <c r="D19" t="inlineStr">
        <is>
          <t>IND</t>
        </is>
      </c>
      <c r="E19" t="inlineStr">
        <is>
          <t>India</t>
        </is>
      </c>
      <c r="F19" t="inlineStr">
        <is>
          <t>DEU</t>
        </is>
      </c>
      <c r="G19" t="inlineStr">
        <is>
          <t>Germany</t>
        </is>
      </c>
      <c r="H19" t="n">
        <v>16125490.6266297</v>
      </c>
      <c r="I19" t="n">
        <v>686191.090494881</v>
      </c>
      <c r="J19" t="n">
        <v>205857.327148464</v>
      </c>
      <c r="K19" t="n">
        <v>57</v>
      </c>
      <c r="L19" t="n">
        <v>2538907.03483106</v>
      </c>
      <c r="M19" t="n">
        <v>228730.363498294</v>
      </c>
      <c r="N19" t="n">
        <v>11356462.5476903</v>
      </c>
      <c r="O19" t="n">
        <v>4769028.07893942</v>
      </c>
      <c r="P19" t="n">
        <v>583262.426920649</v>
      </c>
      <c r="Q19" t="n">
        <v>17028975.562448</v>
      </c>
      <c r="R19" t="inlineStr">
        <is>
          <t>EUR</t>
        </is>
      </c>
      <c r="S19" t="n">
        <v>0.3333333333333338</v>
      </c>
      <c r="T19" t="n">
        <v>13.43891142549078</v>
      </c>
      <c r="U19" t="n">
        <v>0.1111111111111114</v>
      </c>
    </row>
    <row r="20">
      <c r="A20" t="inlineStr">
        <is>
          <t>DIASORIN</t>
        </is>
      </c>
      <c r="B20" t="n">
        <v>2020</v>
      </c>
      <c r="C20" t="inlineStr">
        <is>
          <t>Biomedical</t>
        </is>
      </c>
      <c r="D20" t="inlineStr">
        <is>
          <t>ITA</t>
        </is>
      </c>
      <c r="E20" t="inlineStr">
        <is>
          <t>Italy</t>
        </is>
      </c>
      <c r="F20" t="inlineStr">
        <is>
          <t>DEU</t>
        </is>
      </c>
      <c r="G20" t="inlineStr">
        <is>
          <t>Germany</t>
        </is>
      </c>
      <c r="H20" t="n">
        <v>79555000</v>
      </c>
      <c r="I20" t="n">
        <v>4912000</v>
      </c>
      <c r="J20" t="n">
        <v>-1213000</v>
      </c>
      <c r="K20" t="n">
        <v>174</v>
      </c>
      <c r="L20" t="n">
        <v>19708000</v>
      </c>
      <c r="M20" t="n">
        <v>1500000</v>
      </c>
      <c r="N20" t="n">
        <v>61811000</v>
      </c>
      <c r="O20" t="n">
        <v>17744000</v>
      </c>
      <c r="P20" t="inlineStr"/>
      <c r="Q20" t="inlineStr"/>
      <c r="R20" t="inlineStr">
        <is>
          <t>EUR</t>
        </is>
      </c>
      <c r="S20" t="n">
        <v>0.3053745928338762</v>
      </c>
      <c r="T20" t="n">
        <v>15.40719174880912</v>
      </c>
      <c r="U20" t="n">
        <v>0.0932536419484557</v>
      </c>
    </row>
    <row r="21">
      <c r="A21" t="inlineStr">
        <is>
          <t>DIASORIN</t>
        </is>
      </c>
      <c r="B21" t="n">
        <v>2021</v>
      </c>
      <c r="C21" t="inlineStr">
        <is>
          <t>Biomedical</t>
        </is>
      </c>
      <c r="D21" t="inlineStr">
        <is>
          <t>ITA</t>
        </is>
      </c>
      <c r="E21" t="inlineStr">
        <is>
          <t>Italy</t>
        </is>
      </c>
      <c r="F21" t="inlineStr">
        <is>
          <t>DEU</t>
        </is>
      </c>
      <c r="G21" t="inlineStr">
        <is>
          <t>Germany</t>
        </is>
      </c>
      <c r="H21" t="n">
        <v>85246000</v>
      </c>
      <c r="I21" t="n">
        <v>4402000</v>
      </c>
      <c r="J21" t="n">
        <v>949000</v>
      </c>
      <c r="K21" t="n">
        <v>187</v>
      </c>
      <c r="L21" t="n">
        <v>18152000</v>
      </c>
      <c r="M21" t="n">
        <v>1296000</v>
      </c>
      <c r="N21" t="n">
        <v>62725000</v>
      </c>
      <c r="O21" t="n">
        <v>22521000</v>
      </c>
      <c r="P21" t="inlineStr"/>
      <c r="Q21" t="inlineStr"/>
      <c r="R21" t="inlineStr">
        <is>
          <t>EUR</t>
        </is>
      </c>
      <c r="S21" t="n">
        <v>0.2944116310767833</v>
      </c>
      <c r="T21" t="n">
        <v>15.29756954106854</v>
      </c>
      <c r="U21" t="n">
        <v>0.08667820851329193</v>
      </c>
    </row>
    <row r="22">
      <c r="A22" t="inlineStr">
        <is>
          <t>EISAI</t>
        </is>
      </c>
      <c r="B22" t="n">
        <v>2019</v>
      </c>
      <c r="C22" t="inlineStr">
        <is>
          <t>Biomedical</t>
        </is>
      </c>
      <c r="D22" t="inlineStr">
        <is>
          <t>JPN</t>
        </is>
      </c>
      <c r="E22" t="inlineStr">
        <is>
          <t>Japan</t>
        </is>
      </c>
      <c r="F22" t="inlineStr">
        <is>
          <t>DEU</t>
        </is>
      </c>
      <c r="G22" t="inlineStr">
        <is>
          <t>Germany</t>
        </is>
      </c>
      <c r="H22" t="n">
        <v>66822391.6072453</v>
      </c>
      <c r="I22" t="n">
        <v>6753544.79141054</v>
      </c>
      <c r="J22" t="n">
        <v>1335956.06917466</v>
      </c>
      <c r="K22" t="n">
        <v>117</v>
      </c>
      <c r="L22" t="inlineStr"/>
      <c r="M22" t="n">
        <v>1999836.07900992</v>
      </c>
      <c r="N22" t="inlineStr"/>
      <c r="O22" t="inlineStr"/>
      <c r="P22" t="inlineStr"/>
      <c r="Q22" t="inlineStr"/>
      <c r="R22" t="inlineStr">
        <is>
          <t>EUR</t>
        </is>
      </c>
      <c r="S22" t="n">
        <v>0.2961165048543693</v>
      </c>
      <c r="T22" t="n">
        <v>15.7255780792865</v>
      </c>
      <c r="U22" t="n">
        <v>0.08768498444716771</v>
      </c>
    </row>
    <row r="23">
      <c r="A23" t="inlineStr">
        <is>
          <t>EISAI</t>
        </is>
      </c>
      <c r="B23" t="n">
        <v>2020</v>
      </c>
      <c r="C23" t="inlineStr">
        <is>
          <t>Biomedical</t>
        </is>
      </c>
      <c r="D23" t="inlineStr">
        <is>
          <t>JPN</t>
        </is>
      </c>
      <c r="E23" t="inlineStr">
        <is>
          <t>Japan</t>
        </is>
      </c>
      <c r="F23" t="inlineStr">
        <is>
          <t>DEU</t>
        </is>
      </c>
      <c r="G23" t="inlineStr">
        <is>
          <t>Germany</t>
        </is>
      </c>
      <c r="H23" t="n">
        <v>67345096.4300369</v>
      </c>
      <c r="I23" t="n">
        <v>6622897.00451375</v>
      </c>
      <c r="J23" t="n">
        <v>2232252.76979893</v>
      </c>
      <c r="K23" t="n">
        <v>117</v>
      </c>
      <c r="L23" t="inlineStr"/>
      <c r="M23" t="n">
        <v>2322527.69798933</v>
      </c>
      <c r="N23" t="inlineStr"/>
      <c r="O23" t="inlineStr"/>
      <c r="P23" t="inlineStr"/>
      <c r="Q23" t="inlineStr"/>
      <c r="R23" t="inlineStr">
        <is>
          <t>EUR</t>
        </is>
      </c>
      <c r="S23" t="n">
        <v>0.3506815365551422</v>
      </c>
      <c r="T23" t="n">
        <v>15.70604344616301</v>
      </c>
      <c r="U23" t="n">
        <v>0.1229775400806755</v>
      </c>
    </row>
    <row r="24">
      <c r="A24" t="inlineStr">
        <is>
          <t>EISAI</t>
        </is>
      </c>
      <c r="B24" t="n">
        <v>2021</v>
      </c>
      <c r="C24" t="inlineStr">
        <is>
          <t>Biomedical</t>
        </is>
      </c>
      <c r="D24" t="inlineStr">
        <is>
          <t>JPN</t>
        </is>
      </c>
      <c r="E24" t="inlineStr">
        <is>
          <t>Japan</t>
        </is>
      </c>
      <c r="F24" t="inlineStr">
        <is>
          <t>DEU</t>
        </is>
      </c>
      <c r="G24" t="inlineStr">
        <is>
          <t>Germany</t>
        </is>
      </c>
      <c r="H24" t="n">
        <v>68694179.24237759</v>
      </c>
      <c r="I24" t="n">
        <v>3895903.91130274</v>
      </c>
      <c r="J24" t="n">
        <v>-192485.371111796</v>
      </c>
      <c r="K24" t="n">
        <v>98</v>
      </c>
      <c r="L24" t="inlineStr"/>
      <c r="M24" t="n">
        <v>1416692.33138282</v>
      </c>
      <c r="N24" t="inlineStr"/>
      <c r="O24" t="inlineStr"/>
      <c r="P24" t="inlineStr"/>
      <c r="Q24" t="inlineStr"/>
      <c r="R24" t="inlineStr">
        <is>
          <t>EUR</t>
        </is>
      </c>
      <c r="S24" t="n">
        <v>0.363636363636365</v>
      </c>
      <c r="T24" t="n">
        <v>15.17543628001709</v>
      </c>
      <c r="U24" t="n">
        <v>0.1322314049586787</v>
      </c>
    </row>
    <row r="25">
      <c r="A25" t="inlineStr">
        <is>
          <t>ENEL</t>
        </is>
      </c>
      <c r="B25" t="n">
        <v>2020</v>
      </c>
      <c r="C25" t="inlineStr">
        <is>
          <t>Utilities</t>
        </is>
      </c>
      <c r="D25" t="inlineStr">
        <is>
          <t>ITA</t>
        </is>
      </c>
      <c r="E25" t="inlineStr">
        <is>
          <t>Italy</t>
        </is>
      </c>
      <c r="F25" t="inlineStr">
        <is>
          <t>DEU</t>
        </is>
      </c>
      <c r="G25" t="inlineStr">
        <is>
          <t>Germany</t>
        </is>
      </c>
      <c r="H25" t="n">
        <v>260300000</v>
      </c>
      <c r="I25" t="n">
        <v>19900000</v>
      </c>
      <c r="J25" t="n">
        <v>300000</v>
      </c>
      <c r="K25" t="n">
        <v>23</v>
      </c>
      <c r="L25" t="n">
        <v>700000</v>
      </c>
      <c r="M25" t="n">
        <v>900000</v>
      </c>
      <c r="N25" t="n">
        <v>223200000</v>
      </c>
      <c r="O25" t="n">
        <v>37100000</v>
      </c>
      <c r="P25" t="inlineStr"/>
      <c r="Q25" t="inlineStr"/>
      <c r="R25" t="inlineStr">
        <is>
          <t>EUR</t>
        </is>
      </c>
      <c r="S25" t="n">
        <v>0.04522613065326633</v>
      </c>
      <c r="T25" t="n">
        <v>16.80623028969472</v>
      </c>
      <c r="U25" t="n">
        <v>0.002045402893866316</v>
      </c>
    </row>
    <row r="26">
      <c r="A26" t="inlineStr">
        <is>
          <t>ENI</t>
        </is>
      </c>
      <c r="B26" t="n">
        <v>2017</v>
      </c>
      <c r="C26" t="inlineStr">
        <is>
          <t>Oil, Gas and Mining</t>
        </is>
      </c>
      <c r="D26" t="inlineStr">
        <is>
          <t>ITA</t>
        </is>
      </c>
      <c r="E26" t="inlineStr">
        <is>
          <t>Italy</t>
        </is>
      </c>
      <c r="F26" t="inlineStr">
        <is>
          <t>DEU</t>
        </is>
      </c>
      <c r="G26" t="inlineStr">
        <is>
          <t>Germany</t>
        </is>
      </c>
      <c r="H26" t="n">
        <v>4581842000</v>
      </c>
      <c r="I26" t="n">
        <v>109645000</v>
      </c>
      <c r="J26" t="n">
        <v>31557000</v>
      </c>
      <c r="K26" t="n">
        <v>552</v>
      </c>
      <c r="L26" t="n">
        <v>363912000</v>
      </c>
      <c r="M26" t="n">
        <v>34410000</v>
      </c>
      <c r="N26" t="n">
        <v>4121390000</v>
      </c>
      <c r="O26" t="n">
        <v>460452000</v>
      </c>
      <c r="P26" t="n">
        <v>94145000</v>
      </c>
      <c r="Q26" t="n">
        <v>74923000</v>
      </c>
      <c r="R26" t="inlineStr">
        <is>
          <t>EUR</t>
        </is>
      </c>
      <c r="S26" t="n">
        <v>0.3138310000456017</v>
      </c>
      <c r="T26" t="n">
        <v>18.51275843215327</v>
      </c>
      <c r="U26" t="n">
        <v>0.09848989658962247</v>
      </c>
    </row>
    <row r="27">
      <c r="A27" t="inlineStr">
        <is>
          <t>ENI</t>
        </is>
      </c>
      <c r="B27" t="n">
        <v>2018</v>
      </c>
      <c r="C27" t="inlineStr">
        <is>
          <t>Oil, Gas and Mining</t>
        </is>
      </c>
      <c r="D27" t="inlineStr">
        <is>
          <t>ITA</t>
        </is>
      </c>
      <c r="E27" t="inlineStr">
        <is>
          <t>Italy</t>
        </is>
      </c>
      <c r="F27" t="inlineStr">
        <is>
          <t>DEU</t>
        </is>
      </c>
      <c r="G27" t="inlineStr">
        <is>
          <t>Germany</t>
        </is>
      </c>
      <c r="H27" t="n">
        <v>2716743000</v>
      </c>
      <c r="I27" t="n">
        <v>119618000</v>
      </c>
      <c r="J27" t="n">
        <v>48300000</v>
      </c>
      <c r="K27" t="n">
        <v>537</v>
      </c>
      <c r="L27" t="n">
        <v>375949000</v>
      </c>
      <c r="M27" t="n">
        <v>40798000</v>
      </c>
      <c r="N27" t="n">
        <v>2445724000</v>
      </c>
      <c r="O27" t="n">
        <v>271019000</v>
      </c>
      <c r="P27" t="n">
        <v>94145000</v>
      </c>
      <c r="Q27" t="n">
        <v>78231000</v>
      </c>
      <c r="R27" t="inlineStr">
        <is>
          <t>EUR</t>
        </is>
      </c>
      <c r="S27" t="n">
        <v>0.3410690698724272</v>
      </c>
      <c r="T27" t="n">
        <v>18.59981388982881</v>
      </c>
      <c r="U27" t="n">
        <v>0.1163281104236427</v>
      </c>
    </row>
    <row r="28">
      <c r="A28" t="inlineStr">
        <is>
          <t>ENI</t>
        </is>
      </c>
      <c r="B28" t="n">
        <v>2019</v>
      </c>
      <c r="C28" t="inlineStr">
        <is>
          <t>Oil, Gas and Mining</t>
        </is>
      </c>
      <c r="D28" t="inlineStr">
        <is>
          <t>ITA</t>
        </is>
      </c>
      <c r="E28" t="inlineStr">
        <is>
          <t>Italy</t>
        </is>
      </c>
      <c r="F28" t="inlineStr">
        <is>
          <t>DEU</t>
        </is>
      </c>
      <c r="G28" t="inlineStr">
        <is>
          <t>Germany</t>
        </is>
      </c>
      <c r="H28" t="n">
        <v>2134506000</v>
      </c>
      <c r="I28" t="n">
        <v>58052000</v>
      </c>
      <c r="J28" t="n">
        <v>37876000</v>
      </c>
      <c r="K28" t="n">
        <v>534</v>
      </c>
      <c r="L28" t="n">
        <v>389328000</v>
      </c>
      <c r="M28" t="n">
        <v>19811000</v>
      </c>
      <c r="N28" t="n">
        <v>1867861000</v>
      </c>
      <c r="O28" t="n">
        <v>266645000</v>
      </c>
      <c r="P28" t="n">
        <v>94145000</v>
      </c>
      <c r="Q28" t="n">
        <v>45583000</v>
      </c>
      <c r="R28" t="inlineStr">
        <is>
          <t>EUR</t>
        </is>
      </c>
      <c r="S28" t="n">
        <v>0.341263005581203</v>
      </c>
      <c r="T28" t="n">
        <v>17.87684971857239</v>
      </c>
      <c r="U28" t="n">
        <v>0.1164604389783162</v>
      </c>
    </row>
    <row r="29">
      <c r="A29" t="inlineStr">
        <is>
          <t>ENI</t>
        </is>
      </c>
      <c r="B29" t="n">
        <v>2021</v>
      </c>
      <c r="C29" t="inlineStr">
        <is>
          <t>Oil, Gas and Mining</t>
        </is>
      </c>
      <c r="D29" t="inlineStr">
        <is>
          <t>ITA</t>
        </is>
      </c>
      <c r="E29" t="inlineStr">
        <is>
          <t>Italy</t>
        </is>
      </c>
      <c r="F29" t="inlineStr">
        <is>
          <t>DEU</t>
        </is>
      </c>
      <c r="G29" t="inlineStr">
        <is>
          <t>Germany</t>
        </is>
      </c>
      <c r="H29" t="n">
        <v>2337294000</v>
      </c>
      <c r="I29" t="n">
        <v>124526000</v>
      </c>
      <c r="J29" t="n">
        <v>47126000</v>
      </c>
      <c r="K29" t="n">
        <v>517</v>
      </c>
      <c r="L29" t="n">
        <v>468892000</v>
      </c>
      <c r="M29" t="n">
        <v>36436000</v>
      </c>
      <c r="N29" t="n">
        <v>475124000</v>
      </c>
      <c r="O29" t="n">
        <v>1862170000</v>
      </c>
      <c r="P29" t="n">
        <v>241223000</v>
      </c>
      <c r="Q29" t="n">
        <v>-63612000</v>
      </c>
      <c r="R29" t="inlineStr">
        <is>
          <t>EUR</t>
        </is>
      </c>
      <c r="S29" t="n">
        <v>0.2925975298331272</v>
      </c>
      <c r="T29" t="n">
        <v>18.64002508740734</v>
      </c>
      <c r="U29" t="n">
        <v>0.08561331446444777</v>
      </c>
    </row>
    <row r="30">
      <c r="A30" t="inlineStr">
        <is>
          <t>FERALPI</t>
        </is>
      </c>
      <c r="B30" t="n">
        <v>2020</v>
      </c>
      <c r="C30" t="inlineStr">
        <is>
          <t>Metals and Cement</t>
        </is>
      </c>
      <c r="D30" t="inlineStr">
        <is>
          <t>ITA</t>
        </is>
      </c>
      <c r="E30" t="inlineStr">
        <is>
          <t>Italy</t>
        </is>
      </c>
      <c r="F30" t="inlineStr">
        <is>
          <t>DEU</t>
        </is>
      </c>
      <c r="G30" t="inlineStr">
        <is>
          <t>Germany</t>
        </is>
      </c>
      <c r="H30" t="inlineStr"/>
      <c r="I30" t="n">
        <v>35700000</v>
      </c>
      <c r="J30" t="n">
        <v>10900000</v>
      </c>
      <c r="K30" t="n">
        <v>770</v>
      </c>
      <c r="L30" t="n">
        <v>253500000</v>
      </c>
      <c r="M30" t="n">
        <v>10900000</v>
      </c>
      <c r="N30" t="n">
        <v>471000000</v>
      </c>
      <c r="O30" t="inlineStr"/>
      <c r="P30" t="inlineStr"/>
      <c r="Q30" t="inlineStr"/>
      <c r="R30" t="inlineStr">
        <is>
          <t>EUR</t>
        </is>
      </c>
      <c r="S30" t="n">
        <v>0.3053221288515406</v>
      </c>
      <c r="T30" t="n">
        <v>17.39066124674987</v>
      </c>
      <c r="U30" t="n">
        <v>0.09322160236643678</v>
      </c>
    </row>
    <row r="31">
      <c r="A31" t="inlineStr">
        <is>
          <t>FERALPI</t>
        </is>
      </c>
      <c r="B31" t="n">
        <v>2021</v>
      </c>
      <c r="C31" t="inlineStr">
        <is>
          <t>Metals and Cement</t>
        </is>
      </c>
      <c r="D31" t="inlineStr">
        <is>
          <t>ITA</t>
        </is>
      </c>
      <c r="E31" t="inlineStr">
        <is>
          <t>Italy</t>
        </is>
      </c>
      <c r="F31" t="inlineStr">
        <is>
          <t>DEU</t>
        </is>
      </c>
      <c r="G31" t="inlineStr">
        <is>
          <t>Germany</t>
        </is>
      </c>
      <c r="H31" t="n">
        <v>635500000</v>
      </c>
      <c r="I31" t="n">
        <v>96500000</v>
      </c>
      <c r="J31" t="n">
        <v>8800000</v>
      </c>
      <c r="K31" t="n">
        <v>795</v>
      </c>
      <c r="L31" t="n">
        <v>352400000</v>
      </c>
      <c r="M31" t="n">
        <v>28500000</v>
      </c>
      <c r="N31" t="n">
        <v>599300000</v>
      </c>
      <c r="O31" t="n">
        <v>36200000</v>
      </c>
      <c r="P31" t="inlineStr"/>
      <c r="Q31" t="inlineStr"/>
      <c r="R31" t="inlineStr">
        <is>
          <t>EUR</t>
        </is>
      </c>
      <c r="S31" t="n">
        <v>0.2953367875647668</v>
      </c>
      <c r="T31" t="n">
        <v>18.38505356630921</v>
      </c>
      <c r="U31" t="n">
        <v>0.08722381808907621</v>
      </c>
    </row>
    <row r="32">
      <c r="A32" t="inlineStr">
        <is>
          <t>FERROVIAL</t>
        </is>
      </c>
      <c r="B32" t="n">
        <v>2019</v>
      </c>
      <c r="C32" t="inlineStr">
        <is>
          <t>Transport, Freight &amp; Storage</t>
        </is>
      </c>
      <c r="D32" t="inlineStr">
        <is>
          <t>ESP</t>
        </is>
      </c>
      <c r="E32" t="inlineStr">
        <is>
          <t>Spain</t>
        </is>
      </c>
      <c r="F32" t="inlineStr">
        <is>
          <t>DEU</t>
        </is>
      </c>
      <c r="G32" t="inlineStr">
        <is>
          <t>Germany</t>
        </is>
      </c>
      <c r="H32" t="n">
        <v>48500000</v>
      </c>
      <c r="I32" t="n">
        <v>5210000</v>
      </c>
      <c r="J32" t="n">
        <v>1240000</v>
      </c>
      <c r="K32" t="n">
        <v>1030</v>
      </c>
      <c r="L32" t="n">
        <v>90000</v>
      </c>
      <c r="M32" t="n">
        <v>1210000</v>
      </c>
      <c r="N32" t="n">
        <v>48500000</v>
      </c>
      <c r="O32" t="n">
        <v>0</v>
      </c>
      <c r="P32" t="inlineStr"/>
      <c r="Q32" t="inlineStr"/>
      <c r="R32" t="inlineStr">
        <is>
          <t>EUR</t>
        </is>
      </c>
      <c r="S32" t="n">
        <v>0.2322456813819578</v>
      </c>
      <c r="T32" t="n">
        <v>15.46609041372955</v>
      </c>
      <c r="U32" t="n">
        <v>0.05393805652056985</v>
      </c>
    </row>
    <row r="33">
      <c r="A33" t="inlineStr">
        <is>
          <t>FERROVIAL</t>
        </is>
      </c>
      <c r="B33" t="n">
        <v>2020</v>
      </c>
      <c r="C33" t="inlineStr">
        <is>
          <t>Transport, Freight &amp; Storage</t>
        </is>
      </c>
      <c r="D33" t="inlineStr">
        <is>
          <t>ESP</t>
        </is>
      </c>
      <c r="E33" t="inlineStr">
        <is>
          <t>Spain</t>
        </is>
      </c>
      <c r="F33" t="inlineStr">
        <is>
          <t>DEU</t>
        </is>
      </c>
      <c r="G33" t="inlineStr">
        <is>
          <t>Germany</t>
        </is>
      </c>
      <c r="H33" t="n">
        <v>46310000</v>
      </c>
      <c r="I33" t="n">
        <v>5420000</v>
      </c>
      <c r="J33" t="n">
        <v>930000</v>
      </c>
      <c r="K33" t="n">
        <v>872</v>
      </c>
      <c r="L33" t="n">
        <v>70000</v>
      </c>
      <c r="M33" t="n">
        <v>990000</v>
      </c>
      <c r="N33" t="n">
        <v>46310000</v>
      </c>
      <c r="O33" t="n">
        <v>0</v>
      </c>
      <c r="P33" t="inlineStr"/>
      <c r="Q33" t="inlineStr"/>
      <c r="R33" t="inlineStr">
        <is>
          <t>EUR</t>
        </is>
      </c>
      <c r="S33" t="n">
        <v>0.1826568265682657</v>
      </c>
      <c r="T33" t="n">
        <v>15.50560637341583</v>
      </c>
      <c r="U33" t="n">
        <v>0.03336351629198948</v>
      </c>
    </row>
    <row r="34">
      <c r="A34" t="inlineStr">
        <is>
          <t>FERROVIAL</t>
        </is>
      </c>
      <c r="B34" t="n">
        <v>2021</v>
      </c>
      <c r="C34" t="inlineStr">
        <is>
          <t>Transport, Freight &amp; Storage</t>
        </is>
      </c>
      <c r="D34" t="inlineStr">
        <is>
          <t>ESP</t>
        </is>
      </c>
      <c r="E34" t="inlineStr">
        <is>
          <t>Spain</t>
        </is>
      </c>
      <c r="F34" t="inlineStr">
        <is>
          <t>DEU</t>
        </is>
      </c>
      <c r="G34" t="inlineStr">
        <is>
          <t>Germany</t>
        </is>
      </c>
      <c r="H34" t="n">
        <v>47410000</v>
      </c>
      <c r="I34" t="n">
        <v>6380000</v>
      </c>
      <c r="J34" t="n">
        <v>950000</v>
      </c>
      <c r="K34" t="n">
        <v>917</v>
      </c>
      <c r="L34" t="n">
        <v>50000</v>
      </c>
      <c r="M34" t="n">
        <v>990000</v>
      </c>
      <c r="N34" t="n">
        <v>47410000</v>
      </c>
      <c r="O34" t="n">
        <v>0</v>
      </c>
      <c r="P34" t="inlineStr"/>
      <c r="Q34" t="inlineStr"/>
      <c r="R34" t="inlineStr">
        <is>
          <t>EUR</t>
        </is>
      </c>
      <c r="S34" t="n">
        <v>0.1551724137931035</v>
      </c>
      <c r="T34" t="n">
        <v>15.66867865532097</v>
      </c>
      <c r="U34" t="n">
        <v>0.02407847800237812</v>
      </c>
    </row>
    <row r="35">
      <c r="A35" t="inlineStr">
        <is>
          <t>GENERALI</t>
        </is>
      </c>
      <c r="B35" t="n">
        <v>2021</v>
      </c>
      <c r="C35" t="inlineStr">
        <is>
          <t>Business and Financial Services</t>
        </is>
      </c>
      <c r="D35" t="inlineStr">
        <is>
          <t>ITA</t>
        </is>
      </c>
      <c r="E35" t="inlineStr">
        <is>
          <t>Italy</t>
        </is>
      </c>
      <c r="F35" t="inlineStr">
        <is>
          <t>DEU</t>
        </is>
      </c>
      <c r="G35" t="inlineStr">
        <is>
          <t>Germany</t>
        </is>
      </c>
      <c r="H35" t="n">
        <v>23748000000</v>
      </c>
      <c r="I35" t="n">
        <v>735000000</v>
      </c>
      <c r="J35" t="n">
        <v>143000000</v>
      </c>
      <c r="K35" t="n">
        <v>9578</v>
      </c>
      <c r="L35" t="inlineStr"/>
      <c r="M35" t="n">
        <v>192000000</v>
      </c>
      <c r="N35" t="inlineStr"/>
      <c r="O35" t="inlineStr"/>
      <c r="P35" t="inlineStr"/>
      <c r="Q35" t="inlineStr"/>
      <c r="R35" t="inlineStr">
        <is>
          <t>EUR</t>
        </is>
      </c>
      <c r="S35" t="n">
        <v>0.2612244897959184</v>
      </c>
      <c r="T35" t="n">
        <v>20.41538105717711</v>
      </c>
      <c r="U35" t="n">
        <v>0.06823823406913787</v>
      </c>
    </row>
    <row r="36">
      <c r="A36" t="inlineStr">
        <is>
          <t>GRUNDFOS</t>
        </is>
      </c>
      <c r="B36" t="n">
        <v>2020</v>
      </c>
      <c r="C36" t="inlineStr">
        <is>
          <t>Industrial, Electric and Electronic Machinery</t>
        </is>
      </c>
      <c r="D36" t="inlineStr">
        <is>
          <t>DNK</t>
        </is>
      </c>
      <c r="E36" t="inlineStr">
        <is>
          <t>Denmark</t>
        </is>
      </c>
      <c r="F36" t="inlineStr">
        <is>
          <t>DEU</t>
        </is>
      </c>
      <c r="G36" t="inlineStr">
        <is>
          <t>Germany</t>
        </is>
      </c>
      <c r="H36" t="n">
        <v>379233452.281935</v>
      </c>
      <c r="I36" t="n">
        <v>38011993.2387111</v>
      </c>
      <c r="J36" t="n">
        <v>23923157.4146119</v>
      </c>
      <c r="K36" t="n">
        <v>1172</v>
      </c>
      <c r="L36" t="n">
        <v>41261034.0479193</v>
      </c>
      <c r="M36" t="n">
        <v>11412894.7439028</v>
      </c>
      <c r="N36" t="n">
        <v>271106490.30077</v>
      </c>
      <c r="O36" t="n">
        <v>108126961.981165</v>
      </c>
      <c r="P36" t="inlineStr"/>
      <c r="Q36" t="inlineStr"/>
      <c r="R36" t="inlineStr">
        <is>
          <t>EUR</t>
        </is>
      </c>
      <c r="S36" t="n">
        <v>0.3002445747117519</v>
      </c>
      <c r="T36" t="n">
        <v>17.45341227944084</v>
      </c>
      <c r="U36" t="n">
        <v>0.09014680464384074</v>
      </c>
    </row>
    <row r="37">
      <c r="A37" t="inlineStr">
        <is>
          <t>IBERDROLA</t>
        </is>
      </c>
      <c r="B37" t="n">
        <v>2019</v>
      </c>
      <c r="C37" t="inlineStr">
        <is>
          <t>Utilities</t>
        </is>
      </c>
      <c r="D37" t="inlineStr">
        <is>
          <t>ESP</t>
        </is>
      </c>
      <c r="E37" t="inlineStr">
        <is>
          <t>Spain</t>
        </is>
      </c>
      <c r="F37" t="inlineStr">
        <is>
          <t>DEU</t>
        </is>
      </c>
      <c r="G37" t="inlineStr">
        <is>
          <t>Germany</t>
        </is>
      </c>
      <c r="H37" t="n">
        <v>296576549</v>
      </c>
      <c r="I37" t="n">
        <v>140455366</v>
      </c>
      <c r="J37" t="n">
        <v>845</v>
      </c>
      <c r="K37" t="n">
        <v>59</v>
      </c>
      <c r="L37" t="n">
        <v>1509253548</v>
      </c>
      <c r="M37" t="n">
        <v>32216277</v>
      </c>
      <c r="N37" t="n">
        <v>253472539</v>
      </c>
      <c r="O37" t="n">
        <v>43104010</v>
      </c>
      <c r="P37" t="inlineStr"/>
      <c r="Q37" t="n">
        <v>529207059</v>
      </c>
      <c r="R37" t="inlineStr">
        <is>
          <t>EUR</t>
        </is>
      </c>
      <c r="S37" t="n">
        <v>0.2293702114592048</v>
      </c>
      <c r="T37" t="n">
        <v>18.76040031655188</v>
      </c>
      <c r="U37" t="n">
        <v>0.05261069390484031</v>
      </c>
    </row>
    <row r="38">
      <c r="A38" t="inlineStr">
        <is>
          <t>IBERDROLA</t>
        </is>
      </c>
      <c r="B38" t="n">
        <v>2020</v>
      </c>
      <c r="C38" t="inlineStr">
        <is>
          <t>Utilities</t>
        </is>
      </c>
      <c r="D38" t="inlineStr">
        <is>
          <t>ESP</t>
        </is>
      </c>
      <c r="E38" t="inlineStr">
        <is>
          <t>Spain</t>
        </is>
      </c>
      <c r="F38" t="inlineStr">
        <is>
          <t>DEU</t>
        </is>
      </c>
      <c r="G38" t="inlineStr">
        <is>
          <t>Germany</t>
        </is>
      </c>
      <c r="H38" t="n">
        <v>391000000</v>
      </c>
      <c r="I38" t="n">
        <v>144000000</v>
      </c>
      <c r="J38" t="n">
        <v>68000000</v>
      </c>
      <c r="K38" t="n">
        <v>85</v>
      </c>
      <c r="L38" t="n">
        <v>1503000000</v>
      </c>
      <c r="M38" t="n">
        <v>39000000</v>
      </c>
      <c r="N38" t="n">
        <v>364000000</v>
      </c>
      <c r="O38" t="n">
        <v>27000000</v>
      </c>
      <c r="P38" t="inlineStr"/>
      <c r="Q38" t="inlineStr"/>
      <c r="R38" t="inlineStr">
        <is>
          <t>EUR</t>
        </is>
      </c>
      <c r="S38" t="n">
        <v>0.2708333333333333</v>
      </c>
      <c r="T38" t="n">
        <v>18.78532385754027</v>
      </c>
      <c r="U38" t="n">
        <v>0.07335069444444443</v>
      </c>
    </row>
    <row r="39">
      <c r="A39" t="inlineStr">
        <is>
          <t>IBERDROLA</t>
        </is>
      </c>
      <c r="B39" t="n">
        <v>2021</v>
      </c>
      <c r="C39" t="inlineStr">
        <is>
          <t>Utilities</t>
        </is>
      </c>
      <c r="D39" t="inlineStr">
        <is>
          <t>ESP</t>
        </is>
      </c>
      <c r="E39" t="inlineStr">
        <is>
          <t>Spain</t>
        </is>
      </c>
      <c r="F39" t="inlineStr">
        <is>
          <t>DEU</t>
        </is>
      </c>
      <c r="G39" t="inlineStr">
        <is>
          <t>Germany</t>
        </is>
      </c>
      <c r="H39" t="n">
        <v>438000000</v>
      </c>
      <c r="I39" t="n">
        <v>128000000</v>
      </c>
      <c r="J39" t="n">
        <v>49000000</v>
      </c>
      <c r="K39" t="n">
        <v>97</v>
      </c>
      <c r="L39" t="n">
        <v>1571000000</v>
      </c>
      <c r="M39" t="n">
        <v>33000000</v>
      </c>
      <c r="N39" t="n">
        <v>292000000</v>
      </c>
      <c r="O39" t="n">
        <v>146000000</v>
      </c>
      <c r="P39" t="inlineStr"/>
      <c r="Q39" t="inlineStr"/>
      <c r="R39" t="inlineStr">
        <is>
          <t>EUR</t>
        </is>
      </c>
      <c r="S39" t="n">
        <v>0.2578125</v>
      </c>
      <c r="T39" t="n">
        <v>18.66754082188389</v>
      </c>
      <c r="U39" t="n">
        <v>0.06646728515625</v>
      </c>
    </row>
    <row r="40">
      <c r="A40" t="inlineStr">
        <is>
          <t>INDITEX</t>
        </is>
      </c>
      <c r="B40" t="n">
        <v>2021</v>
      </c>
      <c r="C40" t="inlineStr">
        <is>
          <t>Clothing and Luxury Goods</t>
        </is>
      </c>
      <c r="D40" t="inlineStr">
        <is>
          <t>ESP</t>
        </is>
      </c>
      <c r="E40" t="inlineStr">
        <is>
          <t>Spain</t>
        </is>
      </c>
      <c r="F40" t="inlineStr">
        <is>
          <t>DEU</t>
        </is>
      </c>
      <c r="G40" t="inlineStr">
        <is>
          <t>Germany</t>
        </is>
      </c>
      <c r="H40" t="inlineStr"/>
      <c r="I40" t="n">
        <v>44000000</v>
      </c>
      <c r="J40" t="inlineStr"/>
      <c r="K40" t="inlineStr"/>
      <c r="L40" t="inlineStr"/>
      <c r="M40" t="n">
        <v>7000000</v>
      </c>
      <c r="N40" t="inlineStr"/>
      <c r="O40" t="inlineStr"/>
      <c r="P40" t="inlineStr"/>
      <c r="Q40" t="inlineStr"/>
      <c r="R40" t="inlineStr">
        <is>
          <t>EUR</t>
        </is>
      </c>
      <c r="S40" t="n">
        <v>0.1590909090909091</v>
      </c>
      <c r="T40" t="n">
        <v>17.59970019188254</v>
      </c>
      <c r="U40" t="n">
        <v>0.0253099173553719</v>
      </c>
    </row>
    <row r="41">
      <c r="A41" t="inlineStr">
        <is>
          <t>INDRA</t>
        </is>
      </c>
      <c r="B41" t="n">
        <v>2020</v>
      </c>
      <c r="C41" t="inlineStr">
        <is>
          <t>Business and Financial Services</t>
        </is>
      </c>
      <c r="D41" t="inlineStr">
        <is>
          <t>ESP</t>
        </is>
      </c>
      <c r="E41" t="inlineStr">
        <is>
          <t>Spain</t>
        </is>
      </c>
      <c r="F41" t="inlineStr">
        <is>
          <t>DEU</t>
        </is>
      </c>
      <c r="G41" t="inlineStr">
        <is>
          <t>Germany</t>
        </is>
      </c>
      <c r="H41" t="n">
        <v>20994000</v>
      </c>
      <c r="I41" t="n">
        <v>1157000</v>
      </c>
      <c r="J41" t="n">
        <v>135000</v>
      </c>
      <c r="K41" t="inlineStr"/>
      <c r="L41" t="inlineStr"/>
      <c r="M41" t="n">
        <v>321000</v>
      </c>
      <c r="N41" t="inlineStr"/>
      <c r="O41" t="n">
        <v>1680000</v>
      </c>
      <c r="P41" t="inlineStr"/>
      <c r="Q41" t="inlineStr"/>
      <c r="R41" t="inlineStr">
        <is>
          <t>EUR</t>
        </is>
      </c>
      <c r="S41" t="n">
        <v>0.2774416594641314</v>
      </c>
      <c r="T41" t="n">
        <v>13.96134100617581</v>
      </c>
      <c r="U41" t="n">
        <v>0.07697387440621102</v>
      </c>
    </row>
    <row r="42">
      <c r="A42" t="inlineStr">
        <is>
          <t>INDRA</t>
        </is>
      </c>
      <c r="B42" t="n">
        <v>2021</v>
      </c>
      <c r="C42" t="inlineStr">
        <is>
          <t>Business and Financial Services</t>
        </is>
      </c>
      <c r="D42" t="inlineStr">
        <is>
          <t>ESP</t>
        </is>
      </c>
      <c r="E42" t="inlineStr">
        <is>
          <t>Spain</t>
        </is>
      </c>
      <c r="F42" t="inlineStr">
        <is>
          <t>DEU</t>
        </is>
      </c>
      <c r="G42" t="inlineStr">
        <is>
          <t>Germany</t>
        </is>
      </c>
      <c r="H42" t="n">
        <v>17465000</v>
      </c>
      <c r="I42" t="n">
        <v>1634000</v>
      </c>
      <c r="J42" t="n">
        <v>306000</v>
      </c>
      <c r="K42" t="inlineStr"/>
      <c r="L42" t="inlineStr"/>
      <c r="M42" t="n">
        <v>490000</v>
      </c>
      <c r="N42" t="inlineStr"/>
      <c r="O42" t="n">
        <v>2696000</v>
      </c>
      <c r="P42" t="inlineStr"/>
      <c r="Q42" t="inlineStr"/>
      <c r="R42" t="inlineStr">
        <is>
          <t>EUR</t>
        </is>
      </c>
      <c r="S42" t="n">
        <v>0.2998776009791922</v>
      </c>
      <c r="T42" t="n">
        <v>14.30654155440208</v>
      </c>
      <c r="U42" t="n">
        <v>0.08992657556903561</v>
      </c>
    </row>
    <row r="43">
      <c r="A43" t="inlineStr">
        <is>
          <t>INTERPUMP</t>
        </is>
      </c>
      <c r="B43" t="n">
        <v>2021</v>
      </c>
      <c r="C43" t="inlineStr">
        <is>
          <t>Industrial, Electric and Electronic Machinery</t>
        </is>
      </c>
      <c r="D43" t="inlineStr">
        <is>
          <t>ITA</t>
        </is>
      </c>
      <c r="E43" t="inlineStr">
        <is>
          <t>Italy</t>
        </is>
      </c>
      <c r="F43" t="inlineStr">
        <is>
          <t>DEU</t>
        </is>
      </c>
      <c r="G43" t="inlineStr">
        <is>
          <t>Germany</t>
        </is>
      </c>
      <c r="H43" t="n">
        <v>122460000</v>
      </c>
      <c r="I43" t="n">
        <v>30720000</v>
      </c>
      <c r="J43" t="n">
        <v>8253000</v>
      </c>
      <c r="K43" t="n">
        <v>538</v>
      </c>
      <c r="L43" t="n">
        <v>29062000</v>
      </c>
      <c r="M43" t="n">
        <v>9345000</v>
      </c>
      <c r="N43" t="n">
        <v>89688000</v>
      </c>
      <c r="O43" t="n">
        <v>32772000</v>
      </c>
      <c r="P43" t="n">
        <v>54768000</v>
      </c>
      <c r="Q43" t="n">
        <v>86343000</v>
      </c>
      <c r="R43" t="inlineStr">
        <is>
          <t>EUR</t>
        </is>
      </c>
      <c r="S43" t="n">
        <v>0.30419921875</v>
      </c>
      <c r="T43" t="n">
        <v>17.24042446624374</v>
      </c>
      <c r="U43" t="n">
        <v>0.09253716468811035</v>
      </c>
    </row>
    <row r="44">
      <c r="A44" t="inlineStr">
        <is>
          <t>LUSH</t>
        </is>
      </c>
      <c r="B44" t="n">
        <v>2019</v>
      </c>
      <c r="C44" t="inlineStr">
        <is>
          <t>Chemicals, Cosmetics and Paints</t>
        </is>
      </c>
      <c r="D44" t="inlineStr">
        <is>
          <t>GBR</t>
        </is>
      </c>
      <c r="E44" t="inlineStr">
        <is>
          <t>United Kingdom</t>
        </is>
      </c>
      <c r="F44" t="inlineStr">
        <is>
          <t>DEU</t>
        </is>
      </c>
      <c r="G44" t="inlineStr">
        <is>
          <t>Germany</t>
        </is>
      </c>
      <c r="H44" t="n">
        <v>63450562.2201716</v>
      </c>
      <c r="I44" t="n">
        <v>2927874.04445356</v>
      </c>
      <c r="J44" t="n">
        <v>529751.529443932</v>
      </c>
      <c r="K44" t="n">
        <v>1051</v>
      </c>
      <c r="L44" t="inlineStr"/>
      <c r="M44" t="n">
        <v>424940.4741561</v>
      </c>
      <c r="N44" t="n">
        <v>34356380.3729906</v>
      </c>
      <c r="O44" t="n">
        <v>29094181.8471809</v>
      </c>
      <c r="P44" t="inlineStr"/>
      <c r="Q44" t="inlineStr"/>
      <c r="R44" t="inlineStr">
        <is>
          <t>EUR</t>
        </is>
      </c>
      <c r="S44" t="n">
        <v>0.1451361867704279</v>
      </c>
      <c r="T44" t="n">
        <v>14.8897871355334</v>
      </c>
      <c r="U44" t="n">
        <v>0.02106451271026053</v>
      </c>
    </row>
    <row r="45">
      <c r="A45" t="inlineStr">
        <is>
          <t>NN</t>
        </is>
      </c>
      <c r="B45" t="n">
        <v>2019</v>
      </c>
      <c r="C45" t="inlineStr">
        <is>
          <t>Business and Financial Services</t>
        </is>
      </c>
      <c r="D45" t="inlineStr">
        <is>
          <t>NLD</t>
        </is>
      </c>
      <c r="E45" t="inlineStr">
        <is>
          <t>Netherlands</t>
        </is>
      </c>
      <c r="F45" t="inlineStr">
        <is>
          <t>DEU</t>
        </is>
      </c>
      <c r="G45" t="inlineStr">
        <is>
          <t>Germany</t>
        </is>
      </c>
      <c r="H45" t="n">
        <v>38000000</v>
      </c>
      <c r="I45" t="n">
        <v>37000000</v>
      </c>
      <c r="J45" t="n">
        <v>2000000</v>
      </c>
      <c r="K45" t="n">
        <v>10</v>
      </c>
      <c r="L45" t="inlineStr"/>
      <c r="M45" t="n">
        <v>7000000</v>
      </c>
      <c r="N45" t="inlineStr"/>
      <c r="O45" t="inlineStr"/>
      <c r="P45" t="inlineStr"/>
      <c r="Q45" t="inlineStr"/>
      <c r="R45" t="inlineStr">
        <is>
          <t>EUR</t>
        </is>
      </c>
      <c r="S45" t="n">
        <v>0.1891891891891892</v>
      </c>
      <c r="T45" t="n">
        <v>17.4264284706085</v>
      </c>
      <c r="U45" t="n">
        <v>0.03579254930606282</v>
      </c>
    </row>
    <row r="46">
      <c r="A46" t="inlineStr">
        <is>
          <t>NN</t>
        </is>
      </c>
      <c r="B46" t="n">
        <v>2020</v>
      </c>
      <c r="C46" t="inlineStr">
        <is>
          <t>Business and Financial Services</t>
        </is>
      </c>
      <c r="D46" t="inlineStr">
        <is>
          <t>NLD</t>
        </is>
      </c>
      <c r="E46" t="inlineStr">
        <is>
          <t>Netherlands</t>
        </is>
      </c>
      <c r="F46" t="inlineStr">
        <is>
          <t>DEU</t>
        </is>
      </c>
      <c r="G46" t="inlineStr">
        <is>
          <t>Germany</t>
        </is>
      </c>
      <c r="H46" t="n">
        <v>25000000</v>
      </c>
      <c r="I46" t="n">
        <v>22000000</v>
      </c>
      <c r="J46" t="n">
        <v>8000000</v>
      </c>
      <c r="K46" t="n">
        <v>10</v>
      </c>
      <c r="L46" t="inlineStr"/>
      <c r="M46" t="n">
        <v>6000000</v>
      </c>
      <c r="N46" t="inlineStr"/>
      <c r="O46" t="inlineStr"/>
      <c r="P46" t="inlineStr"/>
      <c r="Q46" t="inlineStr"/>
      <c r="R46" t="inlineStr">
        <is>
          <t>EUR</t>
        </is>
      </c>
      <c r="S46" t="n">
        <v>0.2727272727272727</v>
      </c>
      <c r="T46" t="n">
        <v>16.90655301132259</v>
      </c>
      <c r="U46" t="n">
        <v>0.07438016528925619</v>
      </c>
    </row>
    <row r="47">
      <c r="A47" t="inlineStr">
        <is>
          <t>NN</t>
        </is>
      </c>
      <c r="B47" t="n">
        <v>2021</v>
      </c>
      <c r="C47" t="inlineStr">
        <is>
          <t>Business and Financial Services</t>
        </is>
      </c>
      <c r="D47" t="inlineStr">
        <is>
          <t>NLD</t>
        </is>
      </c>
      <c r="E47" t="inlineStr">
        <is>
          <t>Netherlands</t>
        </is>
      </c>
      <c r="F47" t="inlineStr">
        <is>
          <t>DEU</t>
        </is>
      </c>
      <c r="G47" t="inlineStr">
        <is>
          <t>Germany</t>
        </is>
      </c>
      <c r="H47" t="n">
        <v>102000000</v>
      </c>
      <c r="I47" t="n">
        <v>131000000</v>
      </c>
      <c r="J47" t="n">
        <v>2000000</v>
      </c>
      <c r="K47" t="n">
        <v>9</v>
      </c>
      <c r="L47" t="inlineStr"/>
      <c r="M47" t="n">
        <v>20000000</v>
      </c>
      <c r="N47" t="inlineStr"/>
      <c r="O47" t="inlineStr"/>
      <c r="P47" t="inlineStr"/>
      <c r="Q47" t="inlineStr"/>
      <c r="R47" t="inlineStr">
        <is>
          <t>EUR</t>
        </is>
      </c>
      <c r="S47" t="n">
        <v>0.1526717557251908</v>
      </c>
      <c r="T47" t="n">
        <v>18.69070788116543</v>
      </c>
      <c r="U47" t="n">
        <v>0.02330866499621235</v>
      </c>
    </row>
    <row r="48">
      <c r="A48" t="inlineStr">
        <is>
          <t>OMRON</t>
        </is>
      </c>
      <c r="B48" t="n">
        <v>2020</v>
      </c>
      <c r="C48" t="inlineStr">
        <is>
          <t>Industrial, Electric and Electronic Machinery</t>
        </is>
      </c>
      <c r="D48" t="inlineStr">
        <is>
          <t>JPN</t>
        </is>
      </c>
      <c r="E48" t="inlineStr">
        <is>
          <t>Japan</t>
        </is>
      </c>
      <c r="F48" t="inlineStr">
        <is>
          <t>DEU</t>
        </is>
      </c>
      <c r="G48" t="inlineStr">
        <is>
          <t>Germany</t>
        </is>
      </c>
      <c r="H48" t="n">
        <v>69019286.0073861</v>
      </c>
      <c r="I48" t="n">
        <v>4021337.71029955</v>
      </c>
      <c r="J48" t="n">
        <v>2462043.49610176</v>
      </c>
      <c r="K48" t="n">
        <v>212</v>
      </c>
      <c r="L48" t="inlineStr"/>
      <c r="M48" t="n">
        <v>820681.165367255</v>
      </c>
      <c r="N48" t="inlineStr"/>
      <c r="O48" t="inlineStr"/>
      <c r="P48" t="inlineStr"/>
      <c r="Q48" t="inlineStr"/>
      <c r="R48" t="inlineStr">
        <is>
          <t>EUR</t>
        </is>
      </c>
      <c r="S48" t="n">
        <v>0.2040816326530612</v>
      </c>
      <c r="T48" t="n">
        <v>15.20712516899773</v>
      </c>
      <c r="U48" t="n">
        <v>0.04164931278633902</v>
      </c>
    </row>
    <row r="49">
      <c r="A49" t="inlineStr">
        <is>
          <t>OMRON</t>
        </is>
      </c>
      <c r="B49" t="n">
        <v>2021</v>
      </c>
      <c r="C49" t="inlineStr">
        <is>
          <t>Industrial, Electric and Electronic Machinery</t>
        </is>
      </c>
      <c r="D49" t="inlineStr">
        <is>
          <t>JPN</t>
        </is>
      </c>
      <c r="E49" t="inlineStr">
        <is>
          <t>Japan</t>
        </is>
      </c>
      <c r="F49" t="inlineStr">
        <is>
          <t>DEU</t>
        </is>
      </c>
      <c r="G49" t="inlineStr">
        <is>
          <t>Germany</t>
        </is>
      </c>
      <c r="H49" t="n">
        <v>75454265.4758238</v>
      </c>
      <c r="I49" t="n">
        <v>4157684.01601478</v>
      </c>
      <c r="J49" t="n">
        <v>692947.3360024641</v>
      </c>
      <c r="K49" t="n">
        <v>211</v>
      </c>
      <c r="L49" t="inlineStr"/>
      <c r="M49" t="n">
        <v>769941.484447182</v>
      </c>
      <c r="N49" t="inlineStr"/>
      <c r="O49" t="inlineStr"/>
      <c r="P49" t="inlineStr"/>
      <c r="Q49" t="inlineStr"/>
      <c r="R49" t="inlineStr">
        <is>
          <t>EUR</t>
        </is>
      </c>
      <c r="S49" t="n">
        <v>0.1851851851851853</v>
      </c>
      <c r="T49" t="n">
        <v>15.24046875028795</v>
      </c>
      <c r="U49" t="n">
        <v>0.03429355281207138</v>
      </c>
    </row>
    <row r="50">
      <c r="A50" t="inlineStr">
        <is>
          <t>ØRSTED</t>
        </is>
      </c>
      <c r="B50" t="n">
        <v>2020</v>
      </c>
      <c r="C50" t="inlineStr">
        <is>
          <t>Utilities</t>
        </is>
      </c>
      <c r="D50" t="inlineStr">
        <is>
          <t>DNK</t>
        </is>
      </c>
      <c r="E50" t="inlineStr">
        <is>
          <t>Denmark</t>
        </is>
      </c>
      <c r="F50" t="inlineStr">
        <is>
          <t>DEU</t>
        </is>
      </c>
      <c r="G50" t="inlineStr">
        <is>
          <t>Germany</t>
        </is>
      </c>
      <c r="H50" t="n">
        <v>490059295.430764</v>
      </c>
      <c r="I50" t="n">
        <v>124761879.209037</v>
      </c>
      <c r="J50" t="n">
        <v>268305.116578573</v>
      </c>
      <c r="K50" t="n">
        <v>219</v>
      </c>
      <c r="L50" t="n">
        <v>1511094416.57052</v>
      </c>
      <c r="M50" t="n">
        <v>37428563.762711</v>
      </c>
      <c r="N50" t="n">
        <v>398164793.002603</v>
      </c>
      <c r="O50" t="n">
        <v>91894502.42816129</v>
      </c>
      <c r="P50" t="inlineStr"/>
      <c r="Q50" t="inlineStr"/>
      <c r="R50" t="inlineStr">
        <is>
          <t>EUR</t>
        </is>
      </c>
      <c r="S50" t="n">
        <v>0.2999999999999992</v>
      </c>
      <c r="T50" t="n">
        <v>18.64191751218291</v>
      </c>
      <c r="U50" t="n">
        <v>0.08999999999999952</v>
      </c>
    </row>
    <row r="51">
      <c r="A51" t="inlineStr">
        <is>
          <t>PANDORA</t>
        </is>
      </c>
      <c r="B51" t="n">
        <v>2021</v>
      </c>
      <c r="C51" t="inlineStr">
        <is>
          <t>Clothing and Luxury Goods</t>
        </is>
      </c>
      <c r="D51" t="inlineStr">
        <is>
          <t>DNK</t>
        </is>
      </c>
      <c r="E51" t="inlineStr">
        <is>
          <t>Denmark</t>
        </is>
      </c>
      <c r="F51" t="inlineStr">
        <is>
          <t>DEU</t>
        </is>
      </c>
      <c r="G51" t="inlineStr">
        <is>
          <t>Germany</t>
        </is>
      </c>
      <c r="H51" t="n">
        <v>215274976.469006</v>
      </c>
      <c r="I51" t="n">
        <v>11832728.2506387</v>
      </c>
      <c r="J51" t="n">
        <v>1882479.49441979</v>
      </c>
      <c r="K51" t="n">
        <v>908</v>
      </c>
      <c r="L51" t="inlineStr"/>
      <c r="M51" t="n">
        <v>3496033.34677962</v>
      </c>
      <c r="N51" t="inlineStr"/>
      <c r="O51" t="inlineStr"/>
      <c r="P51" t="inlineStr"/>
      <c r="Q51" t="n">
        <v>13311819.2819685</v>
      </c>
      <c r="R51" t="inlineStr">
        <is>
          <t>EUR</t>
        </is>
      </c>
      <c r="S51" t="n">
        <v>0.2954545454545458</v>
      </c>
      <c r="T51" t="n">
        <v>16.28637983072132</v>
      </c>
      <c r="U51" t="n">
        <v>0.08729338842975227</v>
      </c>
    </row>
    <row r="52">
      <c r="A52" t="inlineStr">
        <is>
          <t>PEARSON</t>
        </is>
      </c>
      <c r="B52" t="n">
        <v>2020</v>
      </c>
      <c r="C52" t="inlineStr">
        <is>
          <t>Printing &amp; Publishing</t>
        </is>
      </c>
      <c r="D52" t="inlineStr">
        <is>
          <t>GBR</t>
        </is>
      </c>
      <c r="E52" t="inlineStr">
        <is>
          <t>United Kingdom</t>
        </is>
      </c>
      <c r="F52" t="inlineStr">
        <is>
          <t>DEU</t>
        </is>
      </c>
      <c r="G52" t="inlineStr">
        <is>
          <t>Germany</t>
        </is>
      </c>
      <c r="H52" t="n">
        <v>30347308.0813757</v>
      </c>
      <c r="I52" t="n">
        <v>4495897.49353715</v>
      </c>
      <c r="J52" t="n">
        <v>1123974.37338429</v>
      </c>
      <c r="K52" t="n">
        <v>134</v>
      </c>
      <c r="L52" t="n">
        <v>5619871.86692143</v>
      </c>
      <c r="M52" t="n">
        <v>1123974.37338429</v>
      </c>
      <c r="N52" t="n">
        <v>29223333.7079915</v>
      </c>
      <c r="O52" t="n">
        <v>1123974.37338429</v>
      </c>
      <c r="P52" t="n">
        <v>66314488.0296729</v>
      </c>
      <c r="Q52" t="n">
        <v>-22479487.4676857</v>
      </c>
      <c r="R52" t="inlineStr">
        <is>
          <t>EUR</t>
        </is>
      </c>
      <c r="S52" t="n">
        <v>0.2500000000000005</v>
      </c>
      <c r="T52" t="n">
        <v>15.31867587081558</v>
      </c>
      <c r="U52" t="n">
        <v>0.06250000000000025</v>
      </c>
    </row>
    <row r="53">
      <c r="A53" t="inlineStr">
        <is>
          <t>PEARSON</t>
        </is>
      </c>
      <c r="B53" t="n">
        <v>2021</v>
      </c>
      <c r="C53" t="inlineStr">
        <is>
          <t>Printing &amp; Publishing</t>
        </is>
      </c>
      <c r="D53" t="inlineStr">
        <is>
          <t>GBR</t>
        </is>
      </c>
      <c r="E53" t="inlineStr">
        <is>
          <t>United Kingdom</t>
        </is>
      </c>
      <c r="F53" t="inlineStr">
        <is>
          <t>DEU</t>
        </is>
      </c>
      <c r="G53" t="inlineStr">
        <is>
          <t>Germany</t>
        </is>
      </c>
      <c r="H53" t="n">
        <v>29221731.037692</v>
      </c>
      <c r="I53" t="n">
        <v>1425081.43322476</v>
      </c>
      <c r="J53" t="n">
        <v>446719.404374128</v>
      </c>
      <c r="K53" t="n">
        <v>132</v>
      </c>
      <c r="L53" t="n">
        <v>5666589.11121452</v>
      </c>
      <c r="M53" t="n">
        <v>271056.30525826</v>
      </c>
      <c r="N53" t="n">
        <v>28413215.4490461</v>
      </c>
      <c r="O53" t="n">
        <v>808515.588645882</v>
      </c>
      <c r="P53" t="n">
        <v>63802931.5960912</v>
      </c>
      <c r="Q53" t="n">
        <v>-19498604.0018613</v>
      </c>
      <c r="R53" t="inlineStr">
        <is>
          <t>EUR</t>
        </is>
      </c>
      <c r="S53" t="n">
        <v>0.1902040816326527</v>
      </c>
      <c r="T53" t="n">
        <v>14.16973951617475</v>
      </c>
      <c r="U53" t="n">
        <v>0.03617759266972082</v>
      </c>
    </row>
    <row r="54">
      <c r="A54" t="inlineStr">
        <is>
          <t>PHILIPS</t>
        </is>
      </c>
      <c r="B54" t="n">
        <v>2020</v>
      </c>
      <c r="C54" t="inlineStr">
        <is>
          <t>Industrial, Electric and Electronic Machinery</t>
        </is>
      </c>
      <c r="D54" t="inlineStr">
        <is>
          <t>NLD</t>
        </is>
      </c>
      <c r="E54" t="inlineStr">
        <is>
          <t>Netherlands</t>
        </is>
      </c>
      <c r="F54" t="inlineStr">
        <is>
          <t>DEU</t>
        </is>
      </c>
      <c r="G54" t="inlineStr">
        <is>
          <t>Germany</t>
        </is>
      </c>
      <c r="H54" t="n">
        <v>3193990000</v>
      </c>
      <c r="I54" t="n">
        <v>502120000</v>
      </c>
      <c r="J54" t="n">
        <v>185120000</v>
      </c>
      <c r="K54" t="n">
        <v>3825</v>
      </c>
      <c r="L54" t="n">
        <v>172690000</v>
      </c>
      <c r="M54" t="n">
        <v>117550000</v>
      </c>
      <c r="N54" t="n">
        <v>1344510000</v>
      </c>
      <c r="O54" t="n">
        <v>1849480000</v>
      </c>
      <c r="P54" t="inlineStr"/>
      <c r="Q54" t="inlineStr"/>
      <c r="R54" t="inlineStr">
        <is>
          <t>EUR</t>
        </is>
      </c>
      <c r="S54" t="n">
        <v>0.234107384688919</v>
      </c>
      <c r="T54" t="n">
        <v>20.03434969291428</v>
      </c>
      <c r="U54" t="n">
        <v>0.0548062675658855</v>
      </c>
    </row>
    <row r="55">
      <c r="A55" t="inlineStr">
        <is>
          <t>PHILIPS</t>
        </is>
      </c>
      <c r="B55" t="n">
        <v>2021</v>
      </c>
      <c r="C55" t="inlineStr">
        <is>
          <t>Industrial, Electric and Electronic Machinery</t>
        </is>
      </c>
      <c r="D55" t="inlineStr">
        <is>
          <t>NLD</t>
        </is>
      </c>
      <c r="E55" t="inlineStr">
        <is>
          <t>Netherlands</t>
        </is>
      </c>
      <c r="F55" t="inlineStr">
        <is>
          <t>DEU</t>
        </is>
      </c>
      <c r="G55" t="inlineStr">
        <is>
          <t>Germany</t>
        </is>
      </c>
      <c r="H55" t="n">
        <v>2261170000</v>
      </c>
      <c r="I55" t="n">
        <v>130530000</v>
      </c>
      <c r="J55" t="n">
        <v>27700000</v>
      </c>
      <c r="K55" t="n">
        <v>3762</v>
      </c>
      <c r="L55" t="n">
        <v>168500000</v>
      </c>
      <c r="M55" t="n">
        <v>35920000</v>
      </c>
      <c r="N55" t="n">
        <v>970430000</v>
      </c>
      <c r="O55" t="n">
        <v>1290740000</v>
      </c>
      <c r="P55" t="inlineStr"/>
      <c r="Q55" t="inlineStr"/>
      <c r="R55" t="inlineStr">
        <is>
          <t>EUR</t>
        </is>
      </c>
      <c r="S55" t="n">
        <v>0.2751857810465027</v>
      </c>
      <c r="T55" t="n">
        <v>18.68711364336497</v>
      </c>
      <c r="U55" t="n">
        <v>0.07572721409017373</v>
      </c>
    </row>
    <row r="56">
      <c r="A56" t="inlineStr">
        <is>
          <t>PIAGGIO</t>
        </is>
      </c>
      <c r="B56" t="n">
        <v>2021</v>
      </c>
      <c r="C56" t="inlineStr">
        <is>
          <t>Unclassified Manufacturing</t>
        </is>
      </c>
      <c r="D56" t="inlineStr">
        <is>
          <t>ITA</t>
        </is>
      </c>
      <c r="E56" t="inlineStr">
        <is>
          <t>Italy</t>
        </is>
      </c>
      <c r="F56" t="inlineStr">
        <is>
          <t>DEU</t>
        </is>
      </c>
      <c r="G56" t="inlineStr">
        <is>
          <t>Germany</t>
        </is>
      </c>
      <c r="H56" t="n">
        <v>4000000</v>
      </c>
      <c r="I56" t="n">
        <v>1000000</v>
      </c>
      <c r="J56" t="n">
        <v>0</v>
      </c>
      <c r="K56" t="n">
        <v>31</v>
      </c>
      <c r="L56" t="n">
        <v>0</v>
      </c>
      <c r="M56" t="n">
        <v>0</v>
      </c>
      <c r="N56" t="n">
        <v>0</v>
      </c>
      <c r="O56" t="n">
        <v>4000000</v>
      </c>
      <c r="P56" t="inlineStr"/>
      <c r="Q56" t="inlineStr"/>
      <c r="R56" t="inlineStr">
        <is>
          <t>EUR</t>
        </is>
      </c>
      <c r="S56" t="n">
        <v>0</v>
      </c>
      <c r="T56" t="n">
        <v>13.81551055796427</v>
      </c>
      <c r="U56" t="n">
        <v>0</v>
      </c>
    </row>
    <row r="57">
      <c r="A57" t="inlineStr">
        <is>
          <t>PIQUADRO</t>
        </is>
      </c>
      <c r="B57" t="n">
        <v>2021</v>
      </c>
      <c r="C57" t="inlineStr">
        <is>
          <t>Retail</t>
        </is>
      </c>
      <c r="D57" t="inlineStr">
        <is>
          <t>ITA</t>
        </is>
      </c>
      <c r="E57" t="inlineStr">
        <is>
          <t>Italy</t>
        </is>
      </c>
      <c r="F57" t="inlineStr">
        <is>
          <t>DEU</t>
        </is>
      </c>
      <c r="G57" t="inlineStr">
        <is>
          <t>Germany</t>
        </is>
      </c>
      <c r="H57" t="n">
        <v>24000</v>
      </c>
      <c r="I57" t="n">
        <v>27000</v>
      </c>
      <c r="J57" t="n">
        <v>3000</v>
      </c>
      <c r="K57" t="n">
        <v>1</v>
      </c>
      <c r="L57" t="n">
        <v>0</v>
      </c>
      <c r="M57" t="n">
        <v>3000</v>
      </c>
      <c r="N57" t="n">
        <v>20000</v>
      </c>
      <c r="O57" t="n">
        <v>4000</v>
      </c>
      <c r="P57" t="inlineStr"/>
      <c r="Q57" t="inlineStr"/>
      <c r="R57" t="inlineStr">
        <is>
          <t>EUR</t>
        </is>
      </c>
      <c r="S57" t="n">
        <v>0.1111111111111111</v>
      </c>
      <c r="T57" t="n">
        <v>10.20359214498647</v>
      </c>
      <c r="U57" t="n">
        <v>0.01234567901234568</v>
      </c>
    </row>
    <row r="58">
      <c r="A58" t="inlineStr">
        <is>
          <t>PRYSMIAN</t>
        </is>
      </c>
      <c r="B58" t="n">
        <v>2021</v>
      </c>
      <c r="C58" t="inlineStr">
        <is>
          <t>Communications</t>
        </is>
      </c>
      <c r="D58" t="inlineStr">
        <is>
          <t>ITA</t>
        </is>
      </c>
      <c r="E58" t="inlineStr">
        <is>
          <t>Italy</t>
        </is>
      </c>
      <c r="F58" t="inlineStr">
        <is>
          <t>DEU</t>
        </is>
      </c>
      <c r="G58" t="inlineStr">
        <is>
          <t>Germany</t>
        </is>
      </c>
      <c r="H58" t="n">
        <v>1126000000</v>
      </c>
      <c r="I58" t="n">
        <v>10000000</v>
      </c>
      <c r="J58" t="n">
        <v>1000000</v>
      </c>
      <c r="K58" t="n">
        <v>1910</v>
      </c>
      <c r="L58" t="n">
        <v>322000000</v>
      </c>
      <c r="M58" t="n">
        <v>3000000</v>
      </c>
      <c r="N58" t="n">
        <v>836000000</v>
      </c>
      <c r="O58" t="n">
        <v>290000000</v>
      </c>
      <c r="P58" t="inlineStr"/>
      <c r="Q58" t="inlineStr"/>
      <c r="R58" t="inlineStr">
        <is>
          <t>EUR</t>
        </is>
      </c>
      <c r="S58" t="n">
        <v>0.3</v>
      </c>
      <c r="T58" t="n">
        <v>16.11809565095832</v>
      </c>
      <c r="U58" t="n">
        <v>0.09</v>
      </c>
    </row>
    <row r="59">
      <c r="A59" t="inlineStr">
        <is>
          <t>REPSOL</t>
        </is>
      </c>
      <c r="B59" t="n">
        <v>2018</v>
      </c>
      <c r="C59" t="inlineStr">
        <is>
          <t>Oil, Gas and Mining</t>
        </is>
      </c>
      <c r="D59" t="inlineStr">
        <is>
          <t>ESP</t>
        </is>
      </c>
      <c r="E59" t="inlineStr">
        <is>
          <t>Spain</t>
        </is>
      </c>
      <c r="F59" t="inlineStr">
        <is>
          <t>DEU</t>
        </is>
      </c>
      <c r="G59" t="inlineStr">
        <is>
          <t>Germany</t>
        </is>
      </c>
      <c r="H59" t="n">
        <v>2000000</v>
      </c>
      <c r="I59" t="n">
        <v>1000000</v>
      </c>
      <c r="J59" t="n">
        <v>1000000</v>
      </c>
      <c r="K59" t="n">
        <v>3</v>
      </c>
      <c r="L59" t="n">
        <v>0</v>
      </c>
      <c r="M59" t="n">
        <v>0</v>
      </c>
      <c r="N59" t="n">
        <v>100000</v>
      </c>
      <c r="O59" t="n">
        <v>1900000</v>
      </c>
      <c r="P59" t="n">
        <v>0</v>
      </c>
      <c r="Q59" t="n">
        <v>1000000</v>
      </c>
      <c r="R59" t="inlineStr">
        <is>
          <t>EUR</t>
        </is>
      </c>
      <c r="S59" t="n">
        <v>0</v>
      </c>
      <c r="T59" t="n">
        <v>13.81551055796427</v>
      </c>
      <c r="U59" t="n">
        <v>0</v>
      </c>
    </row>
    <row r="60">
      <c r="A60" t="inlineStr">
        <is>
          <t>REPSOL</t>
        </is>
      </c>
      <c r="B60" t="n">
        <v>2019</v>
      </c>
      <c r="C60" t="inlineStr">
        <is>
          <t>Oil, Gas and Mining</t>
        </is>
      </c>
      <c r="D60" t="inlineStr">
        <is>
          <t>ESP</t>
        </is>
      </c>
      <c r="E60" t="inlineStr">
        <is>
          <t>Spain</t>
        </is>
      </c>
      <c r="F60" t="inlineStr">
        <is>
          <t>DEU</t>
        </is>
      </c>
      <c r="G60" t="inlineStr">
        <is>
          <t>Germany</t>
        </is>
      </c>
      <c r="H60" t="n">
        <v>2000000</v>
      </c>
      <c r="I60" t="n">
        <v>1000000</v>
      </c>
      <c r="J60" t="n">
        <v>0</v>
      </c>
      <c r="K60" t="n">
        <v>5</v>
      </c>
      <c r="L60" t="n">
        <v>0</v>
      </c>
      <c r="M60" t="n">
        <v>0</v>
      </c>
      <c r="N60" t="n">
        <v>20000</v>
      </c>
      <c r="O60" t="n">
        <v>1980000</v>
      </c>
      <c r="P60" t="n">
        <v>0</v>
      </c>
      <c r="Q60" t="n">
        <v>2000000</v>
      </c>
      <c r="R60" t="inlineStr">
        <is>
          <t>EUR</t>
        </is>
      </c>
      <c r="S60" t="n">
        <v>0</v>
      </c>
      <c r="T60" t="n">
        <v>13.81551055796427</v>
      </c>
      <c r="U60" t="n">
        <v>0</v>
      </c>
    </row>
    <row r="61">
      <c r="A61" t="inlineStr">
        <is>
          <t>RIO TINTO</t>
        </is>
      </c>
      <c r="B61" t="n">
        <v>2018</v>
      </c>
      <c r="C61" t="inlineStr">
        <is>
          <t>Oil, Gas and Mining</t>
        </is>
      </c>
      <c r="D61" t="inlineStr">
        <is>
          <t>AUS</t>
        </is>
      </c>
      <c r="E61" t="inlineStr">
        <is>
          <t>Australia</t>
        </is>
      </c>
      <c r="F61" t="inlineStr">
        <is>
          <t>DEU</t>
        </is>
      </c>
      <c r="G61" t="inlineStr">
        <is>
          <t>Germany</t>
        </is>
      </c>
      <c r="H61" t="n">
        <v>10716895.8509738</v>
      </c>
      <c r="I61" t="n">
        <v>3379147.33276884</v>
      </c>
      <c r="J61" t="n">
        <v>-123898.391193903</v>
      </c>
      <c r="K61" t="n">
        <v>19</v>
      </c>
      <c r="L61" t="n">
        <v>22057.5783234547</v>
      </c>
      <c r="M61" t="n">
        <v>401566.469093988</v>
      </c>
      <c r="N61" t="n">
        <v>44738.3573243014</v>
      </c>
      <c r="O61" t="n">
        <v>10672157.4936494</v>
      </c>
      <c r="P61" t="inlineStr"/>
      <c r="Q61" t="inlineStr"/>
      <c r="R61" t="inlineStr">
        <is>
          <t>EUR</t>
        </is>
      </c>
      <c r="S61" t="n">
        <v>0.1188366263879203</v>
      </c>
      <c r="T61" t="n">
        <v>15.03313396722259</v>
      </c>
      <c r="U61" t="n">
        <v>0.01412214377126216</v>
      </c>
    </row>
    <row r="62">
      <c r="A62" t="inlineStr">
        <is>
          <t>RIO TINTO</t>
        </is>
      </c>
      <c r="B62" t="n">
        <v>2019</v>
      </c>
      <c r="C62" t="inlineStr">
        <is>
          <t>Oil, Gas and Mining</t>
        </is>
      </c>
      <c r="D62" t="inlineStr">
        <is>
          <t>AUS</t>
        </is>
      </c>
      <c r="E62" t="inlineStr">
        <is>
          <t>Australia</t>
        </is>
      </c>
      <c r="F62" t="inlineStr">
        <is>
          <t>DEU</t>
        </is>
      </c>
      <c r="G62" t="inlineStr">
        <is>
          <t>Germany</t>
        </is>
      </c>
      <c r="H62" t="n">
        <v>8842150.960250109</v>
      </c>
      <c r="I62" t="n">
        <v>3519457.79365788</v>
      </c>
      <c r="J62" t="n">
        <v>625377.4006252791</v>
      </c>
      <c r="K62" t="n">
        <v>22</v>
      </c>
      <c r="L62" t="n">
        <v>54361.7686467173</v>
      </c>
      <c r="M62" t="n">
        <v>79038.8566324252</v>
      </c>
      <c r="N62" t="n">
        <v>509154.979901742</v>
      </c>
      <c r="O62" t="n">
        <v>8332995.98034837</v>
      </c>
      <c r="P62" t="inlineStr"/>
      <c r="Q62" t="inlineStr"/>
      <c r="R62" t="inlineStr">
        <is>
          <t>EUR</t>
        </is>
      </c>
      <c r="S62" t="n">
        <v>0.02245767992298544</v>
      </c>
      <c r="T62" t="n">
        <v>15.07381749981688</v>
      </c>
      <c r="U62" t="n">
        <v>0.0005043473875232633</v>
      </c>
    </row>
    <row r="63">
      <c r="A63" t="inlineStr">
        <is>
          <t>RIO TINTO</t>
        </is>
      </c>
      <c r="B63" t="n">
        <v>2020</v>
      </c>
      <c r="C63" t="inlineStr">
        <is>
          <t>Oil, Gas and Mining</t>
        </is>
      </c>
      <c r="D63" t="inlineStr">
        <is>
          <t>AUS</t>
        </is>
      </c>
      <c r="E63" t="inlineStr">
        <is>
          <t>Australia</t>
        </is>
      </c>
      <c r="F63" t="inlineStr">
        <is>
          <t>DEU</t>
        </is>
      </c>
      <c r="G63" t="inlineStr">
        <is>
          <t>Germany</t>
        </is>
      </c>
      <c r="H63" t="n">
        <v>5836082.99772369</v>
      </c>
      <c r="I63" t="n">
        <v>4692134.47732446</v>
      </c>
      <c r="J63" t="n">
        <v>396965.50516547</v>
      </c>
      <c r="K63" t="n">
        <v>18</v>
      </c>
      <c r="L63" t="n">
        <v>1866243.21484854</v>
      </c>
      <c r="M63" t="n">
        <v>810240.763438977</v>
      </c>
      <c r="N63" t="n">
        <v>439248.81807039</v>
      </c>
      <c r="O63" t="n">
        <v>5396834.1796533</v>
      </c>
      <c r="P63" t="inlineStr"/>
      <c r="Q63" t="inlineStr"/>
      <c r="R63" t="inlineStr">
        <is>
          <t>EUR</t>
        </is>
      </c>
      <c r="S63" t="n">
        <v>0.1726806355091917</v>
      </c>
      <c r="T63" t="n">
        <v>15.36139814932613</v>
      </c>
      <c r="U63" t="n">
        <v>0.02981860187985833</v>
      </c>
    </row>
    <row r="64">
      <c r="A64" t="inlineStr">
        <is>
          <t>RIO TINTO</t>
        </is>
      </c>
      <c r="B64" t="n">
        <v>2021</v>
      </c>
      <c r="C64" t="inlineStr">
        <is>
          <t>Oil, Gas and Mining</t>
        </is>
      </c>
      <c r="D64" t="inlineStr">
        <is>
          <t>AUS</t>
        </is>
      </c>
      <c r="E64" t="inlineStr">
        <is>
          <t>Australia</t>
        </is>
      </c>
      <c r="F64" t="inlineStr">
        <is>
          <t>DEU</t>
        </is>
      </c>
      <c r="G64" t="inlineStr">
        <is>
          <t>Germany</t>
        </is>
      </c>
      <c r="H64" t="n">
        <v>4793489.4732392</v>
      </c>
      <c r="I64" t="n">
        <v>8070377.94876131</v>
      </c>
      <c r="J64" t="n">
        <v>202452.862095206</v>
      </c>
      <c r="K64" t="n">
        <v>18</v>
      </c>
      <c r="L64" t="n">
        <v>1585673.45903441</v>
      </c>
      <c r="M64" t="n">
        <v>291047.60294242</v>
      </c>
      <c r="N64" t="n">
        <v>309455.483216369</v>
      </c>
      <c r="O64" t="n">
        <v>4484033.99002283</v>
      </c>
      <c r="P64" t="inlineStr"/>
      <c r="Q64" t="inlineStr"/>
      <c r="R64" t="inlineStr">
        <is>
          <t>EUR</t>
        </is>
      </c>
      <c r="S64" t="n">
        <v>0.03606368930801955</v>
      </c>
      <c r="T64" t="n">
        <v>15.90371087294888</v>
      </c>
      <c r="U64" t="n">
        <v>0.001300589686505364</v>
      </c>
    </row>
    <row r="65">
      <c r="A65" t="inlineStr">
        <is>
          <t>SHELL</t>
        </is>
      </c>
      <c r="B65" t="n">
        <v>2018</v>
      </c>
      <c r="C65" t="inlineStr">
        <is>
          <t>Oil, Gas and Mining</t>
        </is>
      </c>
      <c r="D65" t="inlineStr">
        <is>
          <t>GBR</t>
        </is>
      </c>
      <c r="E65" t="inlineStr">
        <is>
          <t>United Kingdom</t>
        </is>
      </c>
      <c r="F65" t="inlineStr">
        <is>
          <t>DEU</t>
        </is>
      </c>
      <c r="G65" t="inlineStr">
        <is>
          <t>Germany</t>
        </is>
      </c>
      <c r="H65" t="n">
        <v>26513992596.9517</v>
      </c>
      <c r="I65" t="n">
        <v>137669923.793395</v>
      </c>
      <c r="J65" t="n">
        <v>58519557.1549534</v>
      </c>
      <c r="K65" t="n">
        <v>3339</v>
      </c>
      <c r="L65" t="n">
        <v>4557269917.01947</v>
      </c>
      <c r="M65" t="n">
        <v>36482850.9737511</v>
      </c>
      <c r="N65" t="n">
        <v>16874842378.4928</v>
      </c>
      <c r="O65" t="n">
        <v>9639150218.458929</v>
      </c>
      <c r="P65" t="inlineStr"/>
      <c r="Q65" t="n">
        <v>-2027616022.86198</v>
      </c>
      <c r="R65" t="inlineStr">
        <is>
          <t>EUR</t>
        </is>
      </c>
      <c r="S65" t="n">
        <v>0.2650023328879146</v>
      </c>
      <c r="T65" t="n">
        <v>18.7403695214935</v>
      </c>
      <c r="U65" t="n">
        <v>0.07022623643603709</v>
      </c>
    </row>
    <row r="66">
      <c r="A66" t="inlineStr">
        <is>
          <t>SOL</t>
        </is>
      </c>
      <c r="B66" t="n">
        <v>2020</v>
      </c>
      <c r="C66" t="inlineStr">
        <is>
          <t>Unclassified Manufacturing</t>
        </is>
      </c>
      <c r="D66" t="inlineStr">
        <is>
          <t>ITA</t>
        </is>
      </c>
      <c r="E66" t="inlineStr">
        <is>
          <t>Italy</t>
        </is>
      </c>
      <c r="F66" t="inlineStr">
        <is>
          <t>DEU</t>
        </is>
      </c>
      <c r="G66" t="inlineStr">
        <is>
          <t>Germany</t>
        </is>
      </c>
      <c r="H66" t="n">
        <v>148590000</v>
      </c>
      <c r="I66" t="n">
        <v>17270000</v>
      </c>
      <c r="J66" t="n">
        <v>4320000</v>
      </c>
      <c r="K66" t="n">
        <v>668</v>
      </c>
      <c r="L66" t="n">
        <v>69900000</v>
      </c>
      <c r="M66" t="n">
        <v>5290000</v>
      </c>
      <c r="N66" t="n">
        <v>127490000</v>
      </c>
      <c r="O66" t="n">
        <v>21100000</v>
      </c>
      <c r="P66" t="inlineStr"/>
      <c r="Q66" t="inlineStr"/>
      <c r="R66" t="inlineStr">
        <is>
          <t>EUR</t>
        </is>
      </c>
      <c r="S66" t="n">
        <v>0.3063115228720324</v>
      </c>
      <c r="T66" t="n">
        <v>16.66448145012286</v>
      </c>
      <c r="U66" t="n">
        <v>0.09382674904418366</v>
      </c>
    </row>
    <row r="67">
      <c r="A67" t="inlineStr">
        <is>
          <t>SOL</t>
        </is>
      </c>
      <c r="B67" t="n">
        <v>2021</v>
      </c>
      <c r="C67" t="inlineStr">
        <is>
          <t>Unclassified Manufacturing</t>
        </is>
      </c>
      <c r="D67" t="inlineStr">
        <is>
          <t>ITA</t>
        </is>
      </c>
      <c r="E67" t="inlineStr">
        <is>
          <t>Italy</t>
        </is>
      </c>
      <c r="F67" t="inlineStr">
        <is>
          <t>DEU</t>
        </is>
      </c>
      <c r="G67" t="inlineStr">
        <is>
          <t>Germany</t>
        </is>
      </c>
      <c r="H67" t="n">
        <v>164330000</v>
      </c>
      <c r="I67" t="n">
        <v>25240000</v>
      </c>
      <c r="J67" t="n">
        <v>6030000</v>
      </c>
      <c r="K67" t="n">
        <v>729</v>
      </c>
      <c r="L67" t="n">
        <v>62660000</v>
      </c>
      <c r="M67" t="n">
        <v>5980000</v>
      </c>
      <c r="N67" t="n">
        <v>141360000</v>
      </c>
      <c r="O67" t="n">
        <v>22970000</v>
      </c>
      <c r="P67" t="inlineStr"/>
      <c r="Q67" t="inlineStr"/>
      <c r="R67" t="inlineStr">
        <is>
          <t>EUR</t>
        </is>
      </c>
      <c r="S67" t="n">
        <v>0.2369255150554675</v>
      </c>
      <c r="T67" t="n">
        <v>17.04394059563729</v>
      </c>
      <c r="U67" t="n">
        <v>0.05613369968429856</v>
      </c>
    </row>
    <row r="68">
      <c r="A68" t="inlineStr">
        <is>
          <t>SWISS LIFE</t>
        </is>
      </c>
      <c r="B68" t="n">
        <v>2020</v>
      </c>
      <c r="C68" t="inlineStr">
        <is>
          <t>Business and Financial Services</t>
        </is>
      </c>
      <c r="D68" t="inlineStr">
        <is>
          <t>CHE</t>
        </is>
      </c>
      <c r="E68" t="inlineStr">
        <is>
          <t>Switzerland</t>
        </is>
      </c>
      <c r="F68" t="inlineStr">
        <is>
          <t>DEU</t>
        </is>
      </c>
      <c r="G68" t="inlineStr">
        <is>
          <t>Germany</t>
        </is>
      </c>
      <c r="H68" t="n">
        <v>2838860345.63288</v>
      </c>
      <c r="I68" t="n">
        <v>171882297.991593</v>
      </c>
      <c r="J68" t="n">
        <v>46707146.1933676</v>
      </c>
      <c r="K68" t="n">
        <v>2296</v>
      </c>
      <c r="L68" t="n">
        <v>2496964035.49743</v>
      </c>
      <c r="M68" t="n">
        <v>51377860.8127043</v>
      </c>
      <c r="N68" t="n">
        <v>2426903316.20738</v>
      </c>
      <c r="O68" t="n">
        <v>411957029.425502</v>
      </c>
      <c r="P68" t="inlineStr"/>
      <c r="Q68" t="inlineStr"/>
      <c r="R68" t="inlineStr">
        <is>
          <t>EUR</t>
        </is>
      </c>
      <c r="S68" t="n">
        <v>0.2989130434782601</v>
      </c>
      <c r="T68" t="n">
        <v>18.96232048652566</v>
      </c>
      <c r="U68" t="n">
        <v>0.08934900756143624</v>
      </c>
    </row>
    <row r="69">
      <c r="A69" t="inlineStr">
        <is>
          <t>SWISS LIFE</t>
        </is>
      </c>
      <c r="B69" t="n">
        <v>2021</v>
      </c>
      <c r="C69" t="inlineStr">
        <is>
          <t>Business and Financial Services</t>
        </is>
      </c>
      <c r="D69" t="inlineStr">
        <is>
          <t>CHE</t>
        </is>
      </c>
      <c r="E69" t="inlineStr">
        <is>
          <t>Switzerland</t>
        </is>
      </c>
      <c r="F69" t="inlineStr">
        <is>
          <t>DEU</t>
        </is>
      </c>
      <c r="G69" t="inlineStr">
        <is>
          <t>Germany</t>
        </is>
      </c>
      <c r="H69" t="n">
        <v>3225418555.17528</v>
      </c>
      <c r="I69" t="n">
        <v>177596892.054389</v>
      </c>
      <c r="J69" t="n">
        <v>35149384.8857645</v>
      </c>
      <c r="K69" t="n">
        <v>2343</v>
      </c>
      <c r="L69" t="n">
        <v>3004347423.92008</v>
      </c>
      <c r="M69" t="n">
        <v>51799093.5158635</v>
      </c>
      <c r="N69" t="n">
        <v>2748126907.77911</v>
      </c>
      <c r="O69" t="n">
        <v>477291647.396171</v>
      </c>
      <c r="P69" t="inlineStr"/>
      <c r="Q69" t="inlineStr"/>
      <c r="R69" t="inlineStr">
        <is>
          <t>EUR</t>
        </is>
      </c>
      <c r="S69" t="n">
        <v>0.2916666666666669</v>
      </c>
      <c r="T69" t="n">
        <v>18.99502688867546</v>
      </c>
      <c r="U69" t="n">
        <v>0.08506944444444459</v>
      </c>
    </row>
    <row r="70">
      <c r="A70" t="inlineStr">
        <is>
          <t>TELEFONICA</t>
        </is>
      </c>
      <c r="B70" t="n">
        <v>2019</v>
      </c>
      <c r="C70" t="inlineStr">
        <is>
          <t>Communications</t>
        </is>
      </c>
      <c r="D70" t="inlineStr">
        <is>
          <t>ESP</t>
        </is>
      </c>
      <c r="E70" t="inlineStr">
        <is>
          <t>Spain</t>
        </is>
      </c>
      <c r="F70" t="inlineStr">
        <is>
          <t>DEU</t>
        </is>
      </c>
      <c r="G70" t="inlineStr">
        <is>
          <t>Germany</t>
        </is>
      </c>
      <c r="H70" t="n">
        <v>7932000000</v>
      </c>
      <c r="I70" t="n">
        <v>281000000</v>
      </c>
      <c r="J70" t="n">
        <v>52000000</v>
      </c>
      <c r="K70" t="n">
        <v>8235</v>
      </c>
      <c r="L70" t="n">
        <v>3959000000</v>
      </c>
      <c r="M70" t="n">
        <v>81000000</v>
      </c>
      <c r="N70" t="n">
        <v>7870000000</v>
      </c>
      <c r="O70" t="n">
        <v>62000000</v>
      </c>
      <c r="P70" t="inlineStr"/>
      <c r="Q70" t="inlineStr"/>
      <c r="R70" t="inlineStr">
        <is>
          <t>EUR</t>
        </is>
      </c>
      <c r="S70" t="n">
        <v>0.2882562277580071</v>
      </c>
      <c r="T70" t="n">
        <v>19.45386522729802</v>
      </c>
      <c r="U70" t="n">
        <v>0.08309165284127608</v>
      </c>
    </row>
    <row r="71">
      <c r="A71" t="inlineStr">
        <is>
          <t>TELEFONICA</t>
        </is>
      </c>
      <c r="B71" t="n">
        <v>2021</v>
      </c>
      <c r="C71" t="inlineStr">
        <is>
          <t>Communications</t>
        </is>
      </c>
      <c r="D71" t="inlineStr">
        <is>
          <t>ESP</t>
        </is>
      </c>
      <c r="E71" t="inlineStr">
        <is>
          <t>Spain</t>
        </is>
      </c>
      <c r="F71" t="inlineStr">
        <is>
          <t>DEU</t>
        </is>
      </c>
      <c r="G71" t="inlineStr">
        <is>
          <t>Germany</t>
        </is>
      </c>
      <c r="H71" t="n">
        <v>8711000000</v>
      </c>
      <c r="I71" t="n">
        <v>663000000</v>
      </c>
      <c r="J71" t="n">
        <v>54000000</v>
      </c>
      <c r="K71" t="n">
        <v>7576</v>
      </c>
      <c r="L71" t="n">
        <v>3492000000</v>
      </c>
      <c r="M71" t="n">
        <v>41000000</v>
      </c>
      <c r="N71" t="n">
        <v>8642000000</v>
      </c>
      <c r="O71" t="n">
        <v>69000000</v>
      </c>
      <c r="P71" t="inlineStr"/>
      <c r="Q71" t="inlineStr"/>
      <c r="R71" t="inlineStr">
        <is>
          <t>EUR</t>
        </is>
      </c>
      <c r="S71" t="n">
        <v>0.06184012066365008</v>
      </c>
      <c r="T71" t="n">
        <v>20.31228554815014</v>
      </c>
      <c r="U71" t="n">
        <v>0.003824200523694801</v>
      </c>
    </row>
    <row r="72">
      <c r="A72" t="inlineStr">
        <is>
          <t>TOTALENERGIES</t>
        </is>
      </c>
      <c r="B72" t="n">
        <v>2019</v>
      </c>
      <c r="C72" t="inlineStr">
        <is>
          <t>Oil, Gas and Mining</t>
        </is>
      </c>
      <c r="D72" t="inlineStr">
        <is>
          <t>FRA</t>
        </is>
      </c>
      <c r="E72" t="inlineStr">
        <is>
          <t>France</t>
        </is>
      </c>
      <c r="F72" t="inlineStr">
        <is>
          <t>DEU</t>
        </is>
      </c>
      <c r="G72" t="inlineStr">
        <is>
          <t>Germany</t>
        </is>
      </c>
      <c r="H72" t="n">
        <v>33669495310.4064</v>
      </c>
      <c r="I72" t="n">
        <v>439104064.314426</v>
      </c>
      <c r="J72" t="n">
        <v>86516301.9205002</v>
      </c>
      <c r="K72" t="n">
        <v>3993</v>
      </c>
      <c r="L72" t="n">
        <v>1482617239.83921</v>
      </c>
      <c r="M72" t="n">
        <v>89255917.8204556</v>
      </c>
      <c r="N72" t="n">
        <v>16672727110.3171</v>
      </c>
      <c r="O72" t="n">
        <v>16996768200.0893</v>
      </c>
      <c r="P72" t="n">
        <v>961637338.097365</v>
      </c>
      <c r="Q72" t="n">
        <v>2765655203.21572</v>
      </c>
      <c r="R72" t="inlineStr">
        <is>
          <t>EUR</t>
        </is>
      </c>
      <c r="S72" t="n">
        <v>0.203268257058406</v>
      </c>
      <c r="T72" t="n">
        <v>19.9002469915001</v>
      </c>
      <c r="U72" t="n">
        <v>0.04131798432756222</v>
      </c>
    </row>
    <row r="73">
      <c r="A73" t="inlineStr">
        <is>
          <t>TOTALENERGIES</t>
        </is>
      </c>
      <c r="B73" t="n">
        <v>2021</v>
      </c>
      <c r="C73" t="inlineStr">
        <is>
          <t>Oil, Gas and Mining</t>
        </is>
      </c>
      <c r="D73" t="inlineStr">
        <is>
          <t>FRA</t>
        </is>
      </c>
      <c r="E73" t="inlineStr">
        <is>
          <t>France</t>
        </is>
      </c>
      <c r="F73" t="inlineStr">
        <is>
          <t>DEU</t>
        </is>
      </c>
      <c r="G73" t="inlineStr">
        <is>
          <t>Germany</t>
        </is>
      </c>
      <c r="H73" t="n">
        <v>29059930667.1176</v>
      </c>
      <c r="I73" t="n">
        <v>266117358.586286</v>
      </c>
      <c r="J73" t="n">
        <v>53533440.4329078</v>
      </c>
      <c r="K73" t="n">
        <v>4663</v>
      </c>
      <c r="L73" t="n">
        <v>1641984442.37761</v>
      </c>
      <c r="M73" t="n">
        <v>66963727.0651898</v>
      </c>
      <c r="N73" t="n">
        <v>14662590682.337</v>
      </c>
      <c r="O73" t="n">
        <v>14397339984.7806</v>
      </c>
      <c r="P73" t="n">
        <v>915843409.148558</v>
      </c>
      <c r="Q73" t="n">
        <v>1768784137.98935</v>
      </c>
      <c r="R73" t="inlineStr">
        <is>
          <t>EUR</t>
        </is>
      </c>
      <c r="S73" t="n">
        <v>0.251632315234624</v>
      </c>
      <c r="T73" t="n">
        <v>19.39944796713969</v>
      </c>
      <c r="U73" t="n">
        <v>0.06331882207033721</v>
      </c>
    </row>
    <row r="74">
      <c r="A74" t="inlineStr">
        <is>
          <t>VODAFONE</t>
        </is>
      </c>
      <c r="B74" t="n">
        <v>2018</v>
      </c>
      <c r="C74" t="inlineStr">
        <is>
          <t>Communications</t>
        </is>
      </c>
      <c r="D74" t="inlineStr">
        <is>
          <t>GBR</t>
        </is>
      </c>
      <c r="E74" t="inlineStr">
        <is>
          <t>United Kingdom</t>
        </is>
      </c>
      <c r="F74" t="inlineStr">
        <is>
          <t>DEU</t>
        </is>
      </c>
      <c r="G74" t="inlineStr">
        <is>
          <t>Germany</t>
        </is>
      </c>
      <c r="H74" t="n">
        <v>11577213742</v>
      </c>
      <c r="I74" t="n">
        <v>387465539</v>
      </c>
      <c r="J74" t="n">
        <v>86589439</v>
      </c>
      <c r="K74" t="n">
        <v>14946</v>
      </c>
      <c r="L74" t="n">
        <v>7744146631</v>
      </c>
      <c r="M74" t="n">
        <v>117677243</v>
      </c>
      <c r="N74" t="n">
        <v>10933178838</v>
      </c>
      <c r="O74" t="n">
        <v>644034904</v>
      </c>
      <c r="P74" t="n">
        <v>4478357622</v>
      </c>
      <c r="Q74" t="n">
        <v>-12950578874</v>
      </c>
      <c r="R74" t="inlineStr">
        <is>
          <t>EUR</t>
        </is>
      </c>
      <c r="S74" t="n">
        <v>0.3037102171814046</v>
      </c>
      <c r="T74" t="n">
        <v>19.77513747119012</v>
      </c>
      <c r="U74" t="n">
        <v>0.09223989602037597</v>
      </c>
    </row>
    <row r="75">
      <c r="A75" t="inlineStr">
        <is>
          <t>YARA</t>
        </is>
      </c>
      <c r="B75" t="n">
        <v>2019</v>
      </c>
      <c r="C75" t="inlineStr">
        <is>
          <t>Chemicals, Cosmetics and Paints</t>
        </is>
      </c>
      <c r="D75" t="inlineStr">
        <is>
          <t>NOR</t>
        </is>
      </c>
      <c r="E75" t="inlineStr">
        <is>
          <t>Norway</t>
        </is>
      </c>
      <c r="F75" t="inlineStr">
        <is>
          <t>DEU</t>
        </is>
      </c>
      <c r="G75" t="inlineStr">
        <is>
          <t>Germany</t>
        </is>
      </c>
      <c r="H75" t="n">
        <v>866458240.2858419</v>
      </c>
      <c r="I75" t="n">
        <v>133095131.755248</v>
      </c>
      <c r="J75" t="n">
        <v>-8039303.2603841</v>
      </c>
      <c r="K75" t="n">
        <v>819</v>
      </c>
      <c r="L75" t="inlineStr"/>
      <c r="M75" t="n">
        <v>23224653.8633318</v>
      </c>
      <c r="N75" t="inlineStr"/>
      <c r="O75" t="inlineStr"/>
      <c r="P75" t="inlineStr"/>
      <c r="Q75" t="n">
        <v>100044662.795891</v>
      </c>
      <c r="R75" t="inlineStr">
        <is>
          <t>EUR</t>
        </is>
      </c>
      <c r="S75" t="n">
        <v>0.1744966442953015</v>
      </c>
      <c r="T75" t="n">
        <v>18.70657470685306</v>
      </c>
      <c r="U75" t="n">
        <v>0.03044907887032098</v>
      </c>
    </row>
    <row r="76">
      <c r="A76" t="inlineStr">
        <is>
          <t>YARA</t>
        </is>
      </c>
      <c r="B76" t="n">
        <v>2020</v>
      </c>
      <c r="C76" t="inlineStr">
        <is>
          <t>Chemicals, Cosmetics and Paints</t>
        </is>
      </c>
      <c r="D76" t="inlineStr">
        <is>
          <t>NOR</t>
        </is>
      </c>
      <c r="E76" t="inlineStr">
        <is>
          <t>Norway</t>
        </is>
      </c>
      <c r="F76" t="inlineStr">
        <is>
          <t>DEU</t>
        </is>
      </c>
      <c r="G76" t="inlineStr">
        <is>
          <t>Germany</t>
        </is>
      </c>
      <c r="H76" t="n">
        <v>781824549.115741</v>
      </c>
      <c r="I76" t="n">
        <v>232008404.832779</v>
      </c>
      <c r="J76" t="inlineStr"/>
      <c r="K76" t="n">
        <v>810</v>
      </c>
      <c r="L76" t="inlineStr"/>
      <c r="M76" t="n">
        <v>25389599.0194362</v>
      </c>
      <c r="N76" t="inlineStr"/>
      <c r="O76" t="inlineStr"/>
      <c r="P76" t="inlineStr"/>
      <c r="Q76" t="n">
        <v>159341621.432324</v>
      </c>
      <c r="R76" t="inlineStr">
        <is>
          <t>EUR</t>
        </is>
      </c>
      <c r="S76" t="n">
        <v>0.109433962264151</v>
      </c>
      <c r="T76" t="n">
        <v>19.26228415670187</v>
      </c>
      <c r="U76" t="n">
        <v>0.01197579209683162</v>
      </c>
    </row>
    <row r="77">
      <c r="A77" t="inlineStr">
        <is>
          <t>YARA</t>
        </is>
      </c>
      <c r="B77" t="n">
        <v>2021</v>
      </c>
      <c r="C77" t="inlineStr">
        <is>
          <t>Chemicals, Cosmetics and Paints</t>
        </is>
      </c>
      <c r="D77" t="inlineStr">
        <is>
          <t>NOR</t>
        </is>
      </c>
      <c r="E77" t="inlineStr">
        <is>
          <t>Norway</t>
        </is>
      </c>
      <c r="F77" t="inlineStr">
        <is>
          <t>DEU</t>
        </is>
      </c>
      <c r="G77" t="inlineStr">
        <is>
          <t>Germany</t>
        </is>
      </c>
      <c r="H77" t="n">
        <v>1140610467.57419</v>
      </c>
      <c r="I77" t="n">
        <v>211380738.987063</v>
      </c>
      <c r="J77" t="n">
        <v>59186606.9163778</v>
      </c>
      <c r="K77" t="n">
        <v>883</v>
      </c>
      <c r="L77" t="inlineStr"/>
      <c r="M77" t="n">
        <v>10991798.4273273</v>
      </c>
      <c r="N77" t="inlineStr"/>
      <c r="O77" t="inlineStr"/>
      <c r="P77" t="inlineStr"/>
      <c r="Q77" t="n">
        <v>230827766.973873</v>
      </c>
      <c r="R77" t="inlineStr">
        <is>
          <t>EUR</t>
        </is>
      </c>
      <c r="S77" t="n">
        <v>0.05200000000000012</v>
      </c>
      <c r="T77" t="n">
        <v>19.16917151555158</v>
      </c>
      <c r="U77" t="n">
        <v>0.002704000000000012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  <c r="V1" s="1" t="inlineStr">
        <is>
          <t>ln_employees</t>
        </is>
      </c>
      <c r="W1" s="1" t="inlineStr">
        <is>
          <t>ln_tangible_assets</t>
        </is>
      </c>
      <c r="X1" s="1" t="inlineStr">
        <is>
          <t>ln_related_revenues</t>
        </is>
      </c>
    </row>
    <row r="2">
      <c r="A2" t="inlineStr">
        <is>
          <t>ANGLO AMERICAN</t>
        </is>
      </c>
      <c r="B2" t="n">
        <v>2018</v>
      </c>
      <c r="C2" t="inlineStr">
        <is>
          <t>Oil, Gas and Mining</t>
        </is>
      </c>
      <c r="D2" t="inlineStr">
        <is>
          <t>GBR</t>
        </is>
      </c>
      <c r="E2" t="inlineStr">
        <is>
          <t>United Kingdom</t>
        </is>
      </c>
      <c r="F2" t="inlineStr">
        <is>
          <t>DEU</t>
        </is>
      </c>
      <c r="G2" t="inlineStr">
        <is>
          <t>Germany</t>
        </is>
      </c>
      <c r="H2" t="n">
        <v>73755453.00592721</v>
      </c>
      <c r="I2" t="n">
        <v>4840286.19813717</v>
      </c>
      <c r="J2" t="n">
        <v>733981.371718882</v>
      </c>
      <c r="K2" t="n">
        <v>306</v>
      </c>
      <c r="L2" t="n">
        <v>27671773.0736664</v>
      </c>
      <c r="M2" t="n">
        <v>1374700.25402202</v>
      </c>
      <c r="N2" t="n">
        <v>68198905.1651143</v>
      </c>
      <c r="O2" t="n">
        <v>5556547.84081287</v>
      </c>
      <c r="P2" t="n">
        <v>25669592.7180356</v>
      </c>
      <c r="Q2" t="n">
        <v>-16634852.6672312</v>
      </c>
      <c r="R2" t="inlineStr">
        <is>
          <t>EUR</t>
        </is>
      </c>
      <c r="S2" t="n">
        <v>0.2840121839388519</v>
      </c>
      <c r="T2" t="n">
        <v>15.39248440879112</v>
      </c>
      <c r="U2" t="n">
        <v>0.08066292062571623</v>
      </c>
      <c r="V2" t="n">
        <v>5.723585101952381</v>
      </c>
      <c r="W2" t="n">
        <v>17.13592342898971</v>
      </c>
      <c r="X2" t="n">
        <v>15.53048758145341</v>
      </c>
    </row>
    <row r="3">
      <c r="A3" t="inlineStr">
        <is>
          <t>ANGLO AMERICAN</t>
        </is>
      </c>
      <c r="B3" t="n">
        <v>2019</v>
      </c>
      <c r="C3" t="inlineStr">
        <is>
          <t>Oil, Gas and Mining</t>
        </is>
      </c>
      <c r="D3" t="inlineStr">
        <is>
          <t>GBR</t>
        </is>
      </c>
      <c r="E3" t="inlineStr">
        <is>
          <t>United Kingdom</t>
        </is>
      </c>
      <c r="F3" t="inlineStr">
        <is>
          <t>DEU</t>
        </is>
      </c>
      <c r="G3" t="inlineStr">
        <is>
          <t>Germany</t>
        </is>
      </c>
      <c r="H3" t="n">
        <v>71554278.69584639</v>
      </c>
      <c r="I3" t="n">
        <v>4125112.9968736</v>
      </c>
      <c r="J3" t="n">
        <v>1108326.03841</v>
      </c>
      <c r="K3" t="n">
        <v>371</v>
      </c>
      <c r="L3" t="n">
        <v>29189007.5926753</v>
      </c>
      <c r="M3" t="n">
        <v>1229036.17686467</v>
      </c>
      <c r="N3" t="n">
        <v>66753826.7083519</v>
      </c>
      <c r="O3" t="n">
        <v>4800451.98749442</v>
      </c>
      <c r="P3" t="n">
        <v>27079757.9276463</v>
      </c>
      <c r="Q3" t="n">
        <v>-10359847.2532381</v>
      </c>
      <c r="R3" t="inlineStr">
        <is>
          <t>EUR</t>
        </is>
      </c>
      <c r="S3" t="n">
        <v>0.2979400025638448</v>
      </c>
      <c r="T3" t="n">
        <v>15.23260397055721</v>
      </c>
      <c r="U3" t="n">
        <v>0.08876824512774384</v>
      </c>
      <c r="V3" t="n">
        <v>5.916202062607435</v>
      </c>
      <c r="W3" t="n">
        <v>17.18930274405691</v>
      </c>
      <c r="X3" t="n">
        <v>15.3842206355063</v>
      </c>
    </row>
    <row r="4">
      <c r="A4" t="inlineStr">
        <is>
          <t>ANGLO AMERICAN</t>
        </is>
      </c>
      <c r="B4" t="n">
        <v>2020</v>
      </c>
      <c r="C4" t="inlineStr">
        <is>
          <t>Oil, Gas and Mining</t>
        </is>
      </c>
      <c r="D4" t="inlineStr">
        <is>
          <t>GBR</t>
        </is>
      </c>
      <c r="E4" t="inlineStr">
        <is>
          <t>United Kingdom</t>
        </is>
      </c>
      <c r="F4" t="inlineStr">
        <is>
          <t>DEU</t>
        </is>
      </c>
      <c r="G4" t="inlineStr">
        <is>
          <t>Germany</t>
        </is>
      </c>
      <c r="H4" t="n">
        <v>75174390.6496235</v>
      </c>
      <c r="I4" t="n">
        <v>7972561.72299072</v>
      </c>
      <c r="J4" t="n">
        <v>1205961.30274908</v>
      </c>
      <c r="K4" t="n">
        <v>354</v>
      </c>
      <c r="L4" t="n">
        <v>32713429.3468744</v>
      </c>
      <c r="M4" t="n">
        <v>2154587.63789179</v>
      </c>
      <c r="N4" t="n">
        <v>71673191.20994569</v>
      </c>
      <c r="O4" t="n">
        <v>3501199.43967781</v>
      </c>
      <c r="P4" t="n">
        <v>26541576.7816494</v>
      </c>
      <c r="Q4" t="n">
        <v>-16689655.0516547</v>
      </c>
      <c r="R4" t="inlineStr">
        <is>
          <t>EUR</t>
        </is>
      </c>
      <c r="S4" t="n">
        <v>0.2702503552501249</v>
      </c>
      <c r="T4" t="n">
        <v>15.8915164198233</v>
      </c>
      <c r="U4" t="n">
        <v>0.07303525451281873</v>
      </c>
      <c r="V4" t="n">
        <v>5.869296913133774</v>
      </c>
      <c r="W4" t="n">
        <v>17.30329623495079</v>
      </c>
      <c r="X4" t="n">
        <v>15.06861616480322</v>
      </c>
    </row>
    <row r="5">
      <c r="A5" t="inlineStr">
        <is>
          <t>ANGLO AMERICAN</t>
        </is>
      </c>
      <c r="B5" t="n">
        <v>2021</v>
      </c>
      <c r="C5" t="inlineStr">
        <is>
          <t>Oil, Gas and Mining</t>
        </is>
      </c>
      <c r="D5" t="inlineStr">
        <is>
          <t>GBR</t>
        </is>
      </c>
      <c r="E5" t="inlineStr">
        <is>
          <t>United Kingdom</t>
        </is>
      </c>
      <c r="F5" t="inlineStr">
        <is>
          <t>DEU</t>
        </is>
      </c>
      <c r="G5" t="inlineStr">
        <is>
          <t>Germany</t>
        </is>
      </c>
      <c r="H5" t="n">
        <v>87380003.38209181</v>
      </c>
      <c r="I5" t="n">
        <v>10910811.7020377</v>
      </c>
      <c r="J5" t="n">
        <v>2289207.74499028</v>
      </c>
      <c r="K5" t="n">
        <v>338</v>
      </c>
      <c r="L5" t="n">
        <v>33856792.0859051</v>
      </c>
      <c r="M5" t="n">
        <v>3407040.66965418</v>
      </c>
      <c r="N5" t="n">
        <v>82078949.8604887</v>
      </c>
      <c r="O5" t="n">
        <v>5301053.52160311</v>
      </c>
      <c r="P5" t="n">
        <v>25632695.5271836</v>
      </c>
      <c r="Q5" t="n">
        <v>-24054006.9332882</v>
      </c>
      <c r="R5" t="inlineStr">
        <is>
          <t>EUR</t>
        </is>
      </c>
      <c r="S5" t="n">
        <v>0.3122628052519578</v>
      </c>
      <c r="T5" t="n">
        <v>16.20526475486186</v>
      </c>
      <c r="U5" t="n">
        <v>0.09750805954382211</v>
      </c>
      <c r="V5" t="n">
        <v>5.823045895483019</v>
      </c>
      <c r="W5" t="n">
        <v>17.33765018965851</v>
      </c>
      <c r="X5" t="n">
        <v>15.48341613642965</v>
      </c>
    </row>
    <row r="6">
      <c r="A6" t="inlineStr">
        <is>
          <t>AXA</t>
        </is>
      </c>
      <c r="B6" t="n">
        <v>2021</v>
      </c>
      <c r="C6" t="inlineStr">
        <is>
          <t>Business and Financial Services</t>
        </is>
      </c>
      <c r="D6" t="inlineStr">
        <is>
          <t>FRA</t>
        </is>
      </c>
      <c r="E6" t="inlineStr">
        <is>
          <t>France</t>
        </is>
      </c>
      <c r="F6" t="inlineStr">
        <is>
          <t>DEU</t>
        </is>
      </c>
      <c r="G6" t="inlineStr">
        <is>
          <t>Germany</t>
        </is>
      </c>
      <c r="H6" t="n">
        <v>12824479000</v>
      </c>
      <c r="I6" t="n">
        <v>1064479000</v>
      </c>
      <c r="J6" t="n">
        <v>223338000</v>
      </c>
      <c r="K6" t="n">
        <v>9421</v>
      </c>
      <c r="L6" t="n">
        <v>377229000</v>
      </c>
      <c r="M6" t="n">
        <v>238612000</v>
      </c>
      <c r="N6" t="n">
        <v>12439250000</v>
      </c>
      <c r="O6" t="n">
        <v>385229000</v>
      </c>
      <c r="P6" t="n">
        <v>494996000</v>
      </c>
      <c r="Q6" t="n">
        <v>2651074000</v>
      </c>
      <c r="R6" t="inlineStr">
        <is>
          <t>EUR</t>
        </is>
      </c>
      <c r="S6" t="n">
        <v>0.2241584850429177</v>
      </c>
      <c r="T6" t="n">
        <v>20.78575131453159</v>
      </c>
      <c r="U6" t="n">
        <v>0.05024702641673597</v>
      </c>
      <c r="V6" t="n">
        <v>9.150696519048667</v>
      </c>
      <c r="W6" t="n">
        <v>19.74836298805885</v>
      </c>
      <c r="X6" t="n">
        <v>19.76934852062037</v>
      </c>
    </row>
    <row r="7">
      <c r="A7" t="inlineStr">
        <is>
          <t>BP</t>
        </is>
      </c>
      <c r="B7" t="n">
        <v>2019</v>
      </c>
      <c r="C7" t="inlineStr">
        <is>
          <t>Oil, Gas and Mining</t>
        </is>
      </c>
      <c r="D7" t="inlineStr">
        <is>
          <t>GBR</t>
        </is>
      </c>
      <c r="E7" t="inlineStr">
        <is>
          <t>United Kingdom</t>
        </is>
      </c>
      <c r="F7" t="inlineStr">
        <is>
          <t>DEU</t>
        </is>
      </c>
      <c r="G7" t="inlineStr">
        <is>
          <t>Germany</t>
        </is>
      </c>
      <c r="H7" t="n">
        <v>24558629614.1134</v>
      </c>
      <c r="I7" t="n">
        <v>116393742.742296</v>
      </c>
      <c r="J7" t="n">
        <v>-69281091.5587316</v>
      </c>
      <c r="K7" t="n">
        <v>4676</v>
      </c>
      <c r="L7" t="n">
        <v>4202949057.61501</v>
      </c>
      <c r="M7" t="n">
        <v>11301734.7029924</v>
      </c>
      <c r="N7" t="n">
        <v>17486716834.301</v>
      </c>
      <c r="O7" t="n">
        <v>7071912779.81242</v>
      </c>
      <c r="P7" t="n">
        <v>2167941436.35552</v>
      </c>
      <c r="Q7" t="n">
        <v>1050696567.21751</v>
      </c>
      <c r="R7" t="inlineStr">
        <is>
          <t>EUR</t>
        </is>
      </c>
      <c r="S7" t="n">
        <v>0.09709916045929756</v>
      </c>
      <c r="T7" t="n">
        <v>18.57248933530719</v>
      </c>
      <c r="U7" t="n">
        <v>0.009428246961900415</v>
      </c>
      <c r="V7" t="n">
        <v>8.450198322591959</v>
      </c>
      <c r="W7" t="n">
        <v>22.15905227241414</v>
      </c>
      <c r="X7" t="n">
        <v>22.67939682903438</v>
      </c>
    </row>
    <row r="8">
      <c r="A8" t="inlineStr">
        <is>
          <t>BUZZI UNICEM</t>
        </is>
      </c>
      <c r="B8" t="n">
        <v>2020</v>
      </c>
      <c r="C8" t="inlineStr">
        <is>
          <t>Metals and Cement</t>
        </is>
      </c>
      <c r="D8" t="inlineStr">
        <is>
          <t>ITA</t>
        </is>
      </c>
      <c r="E8" t="inlineStr">
        <is>
          <t>Italy</t>
        </is>
      </c>
      <c r="F8" t="inlineStr">
        <is>
          <t>DEU</t>
        </is>
      </c>
      <c r="G8" t="inlineStr">
        <is>
          <t>Germany</t>
        </is>
      </c>
      <c r="H8" t="n">
        <v>893598865</v>
      </c>
      <c r="I8" t="n">
        <v>282228120</v>
      </c>
      <c r="J8" t="n">
        <v>9846088</v>
      </c>
      <c r="K8" t="n">
        <v>1778</v>
      </c>
      <c r="L8" t="n">
        <v>410355777</v>
      </c>
      <c r="M8" t="n">
        <v>16550095</v>
      </c>
      <c r="N8" t="n">
        <v>752949260</v>
      </c>
      <c r="O8" t="n">
        <v>140649605</v>
      </c>
      <c r="P8" t="n">
        <v>140150012</v>
      </c>
      <c r="Q8" t="n">
        <v>143428997</v>
      </c>
      <c r="R8" t="inlineStr">
        <is>
          <t>EUR</t>
        </is>
      </c>
      <c r="S8" t="n">
        <v>0.05864084344253152</v>
      </c>
      <c r="T8" t="n">
        <v>19.45822623806008</v>
      </c>
      <c r="U8" t="n">
        <v>0.003438748519651493</v>
      </c>
      <c r="V8" t="n">
        <v>7.48324441607385</v>
      </c>
      <c r="W8" t="n">
        <v>19.8325350901668</v>
      </c>
      <c r="X8" t="n">
        <v>18.76178228450658</v>
      </c>
    </row>
    <row r="9">
      <c r="A9" t="inlineStr">
        <is>
          <t>BUZZI UNICEM</t>
        </is>
      </c>
      <c r="B9" t="n">
        <v>2021</v>
      </c>
      <c r="C9" t="inlineStr">
        <is>
          <t>Metals and Cement</t>
        </is>
      </c>
      <c r="D9" t="inlineStr">
        <is>
          <t>ITA</t>
        </is>
      </c>
      <c r="E9" t="inlineStr">
        <is>
          <t>Italy</t>
        </is>
      </c>
      <c r="F9" t="inlineStr">
        <is>
          <t>DEU</t>
        </is>
      </c>
      <c r="G9" t="inlineStr">
        <is>
          <t>Germany</t>
        </is>
      </c>
      <c r="H9" t="n">
        <v>864577406</v>
      </c>
      <c r="I9" t="n">
        <v>212596255</v>
      </c>
      <c r="J9" t="n">
        <v>33070034</v>
      </c>
      <c r="K9" t="n">
        <v>1770</v>
      </c>
      <c r="L9" t="n">
        <v>416678258</v>
      </c>
      <c r="M9" t="n">
        <v>24887443</v>
      </c>
      <c r="N9" t="n">
        <v>747231640</v>
      </c>
      <c r="O9" t="n">
        <v>117345766</v>
      </c>
      <c r="P9" t="n">
        <v>133655862</v>
      </c>
      <c r="Q9" t="n">
        <v>143699952</v>
      </c>
      <c r="R9" t="inlineStr">
        <is>
          <t>EUR</t>
        </is>
      </c>
      <c r="S9" t="n">
        <v>0.1170643528033925</v>
      </c>
      <c r="T9" t="n">
        <v>19.17490540847708</v>
      </c>
      <c r="U9" t="n">
        <v>0.01370406269727715</v>
      </c>
      <c r="V9" t="n">
        <v>7.478734825567875</v>
      </c>
      <c r="W9" t="n">
        <v>19.84782491840556</v>
      </c>
      <c r="X9" t="n">
        <v>18.58063539950815</v>
      </c>
    </row>
    <row r="10">
      <c r="A10" t="inlineStr">
        <is>
          <t>CEMBRE</t>
        </is>
      </c>
      <c r="B10" t="n">
        <v>2020</v>
      </c>
      <c r="C10" t="inlineStr">
        <is>
          <t>Industrial, Electric and Electronic Machinery</t>
        </is>
      </c>
      <c r="D10" t="inlineStr">
        <is>
          <t>ITA</t>
        </is>
      </c>
      <c r="E10" t="inlineStr">
        <is>
          <t>Italy</t>
        </is>
      </c>
      <c r="F10" t="inlineStr">
        <is>
          <t>DEU</t>
        </is>
      </c>
      <c r="G10" t="inlineStr">
        <is>
          <t>Germany</t>
        </is>
      </c>
      <c r="H10" t="n">
        <v>15662000</v>
      </c>
      <c r="I10" t="n">
        <v>380000</v>
      </c>
      <c r="J10" t="n">
        <v>155000</v>
      </c>
      <c r="K10" t="n">
        <v>58</v>
      </c>
      <c r="L10" t="n">
        <v>2822000</v>
      </c>
      <c r="M10" t="n">
        <v>8000</v>
      </c>
      <c r="N10" t="n">
        <v>15587000</v>
      </c>
      <c r="O10" t="n">
        <v>75000</v>
      </c>
      <c r="P10" t="inlineStr"/>
      <c r="Q10" t="inlineStr"/>
      <c r="R10" t="inlineStr">
        <is>
          <t>EUR</t>
        </is>
      </c>
      <c r="S10" t="n">
        <v>0.02105263157894737</v>
      </c>
      <c r="T10" t="n">
        <v>12.84792653170257</v>
      </c>
      <c r="U10" t="n">
        <v>0.0004432132963988919</v>
      </c>
      <c r="V10" t="n">
        <v>4.060443010546419</v>
      </c>
      <c r="W10" t="n">
        <v>14.8529564113949</v>
      </c>
      <c r="X10" t="n">
        <v>11.22524339251845</v>
      </c>
    </row>
    <row r="11">
      <c r="A11" t="inlineStr">
        <is>
          <t>CEMBRE</t>
        </is>
      </c>
      <c r="B11" t="n">
        <v>2021</v>
      </c>
      <c r="C11" t="inlineStr">
        <is>
          <t>Industrial, Electric and Electronic Machinery</t>
        </is>
      </c>
      <c r="D11" t="inlineStr">
        <is>
          <t>ITA</t>
        </is>
      </c>
      <c r="E11" t="inlineStr">
        <is>
          <t>Italy</t>
        </is>
      </c>
      <c r="F11" t="inlineStr">
        <is>
          <t>DEU</t>
        </is>
      </c>
      <c r="G11" t="inlineStr">
        <is>
          <t>Germany</t>
        </is>
      </c>
      <c r="H11" t="n">
        <v>19003000</v>
      </c>
      <c r="I11" t="n">
        <v>1554000</v>
      </c>
      <c r="J11" t="n">
        <v>82000</v>
      </c>
      <c r="K11" t="n">
        <v>56</v>
      </c>
      <c r="L11" t="n">
        <v>2736000</v>
      </c>
      <c r="M11" t="n">
        <v>208000</v>
      </c>
      <c r="N11" t="n">
        <v>18875000</v>
      </c>
      <c r="O11" t="n">
        <v>128000</v>
      </c>
      <c r="P11" t="inlineStr"/>
      <c r="Q11" t="inlineStr"/>
      <c r="R11" t="inlineStr">
        <is>
          <t>EUR</t>
        </is>
      </c>
      <c r="S11" t="n">
        <v>0.1338481338481338</v>
      </c>
      <c r="T11" t="n">
        <v>14.25634280990973</v>
      </c>
      <c r="U11" t="n">
        <v>0.01791532293462796</v>
      </c>
      <c r="V11" t="n">
        <v>4.02535169073515</v>
      </c>
      <c r="W11" t="n">
        <v>14.82200755772458</v>
      </c>
      <c r="X11" t="n">
        <v>11.75978554290175</v>
      </c>
    </row>
    <row r="12">
      <c r="A12" t="inlineStr">
        <is>
          <t>CYIENT</t>
        </is>
      </c>
      <c r="B12" t="n">
        <v>2021</v>
      </c>
      <c r="C12" t="inlineStr">
        <is>
          <t>Business and Financial Services</t>
        </is>
      </c>
      <c r="D12" t="inlineStr">
        <is>
          <t>IND</t>
        </is>
      </c>
      <c r="E12" t="inlineStr">
        <is>
          <t>India</t>
        </is>
      </c>
      <c r="F12" t="inlineStr">
        <is>
          <t>DEU</t>
        </is>
      </c>
      <c r="G12" t="inlineStr">
        <is>
          <t>Germany</t>
        </is>
      </c>
      <c r="H12" t="n">
        <v>16125490.6266297</v>
      </c>
      <c r="I12" t="n">
        <v>686191.090494881</v>
      </c>
      <c r="J12" t="n">
        <v>205857.327148464</v>
      </c>
      <c r="K12" t="n">
        <v>57</v>
      </c>
      <c r="L12" t="n">
        <v>2538907.03483106</v>
      </c>
      <c r="M12" t="n">
        <v>228730.363498294</v>
      </c>
      <c r="N12" t="n">
        <v>11356462.5476903</v>
      </c>
      <c r="O12" t="n">
        <v>4769028.07893942</v>
      </c>
      <c r="P12" t="n">
        <v>583262.426920649</v>
      </c>
      <c r="Q12" t="n">
        <v>17028975.562448</v>
      </c>
      <c r="R12" t="inlineStr">
        <is>
          <t>EUR</t>
        </is>
      </c>
      <c r="S12" t="n">
        <v>0.3333333333333338</v>
      </c>
      <c r="T12" t="n">
        <v>13.43891142549078</v>
      </c>
      <c r="U12" t="n">
        <v>0.1111111111111114</v>
      </c>
      <c r="V12" t="n">
        <v>4.04305126783455</v>
      </c>
      <c r="W12" t="n">
        <v>14.74724424514096</v>
      </c>
      <c r="X12" t="n">
        <v>15.37765308506748</v>
      </c>
    </row>
    <row r="13">
      <c r="A13" t="inlineStr">
        <is>
          <t>DIASORIN</t>
        </is>
      </c>
      <c r="B13" t="n">
        <v>2020</v>
      </c>
      <c r="C13" t="inlineStr">
        <is>
          <t>Biomedical</t>
        </is>
      </c>
      <c r="D13" t="inlineStr">
        <is>
          <t>ITA</t>
        </is>
      </c>
      <c r="E13" t="inlineStr">
        <is>
          <t>Italy</t>
        </is>
      </c>
      <c r="F13" t="inlineStr">
        <is>
          <t>DEU</t>
        </is>
      </c>
      <c r="G13" t="inlineStr">
        <is>
          <t>Germany</t>
        </is>
      </c>
      <c r="H13" t="n">
        <v>79555000</v>
      </c>
      <c r="I13" t="n">
        <v>4912000</v>
      </c>
      <c r="J13" t="n">
        <v>-1213000</v>
      </c>
      <c r="K13" t="n">
        <v>174</v>
      </c>
      <c r="L13" t="n">
        <v>19708000</v>
      </c>
      <c r="M13" t="n">
        <v>1500000</v>
      </c>
      <c r="N13" t="n">
        <v>61811000</v>
      </c>
      <c r="O13" t="n">
        <v>17744000</v>
      </c>
      <c r="P13" t="inlineStr"/>
      <c r="Q13" t="inlineStr"/>
      <c r="R13" t="inlineStr">
        <is>
          <t>EUR</t>
        </is>
      </c>
      <c r="S13" t="n">
        <v>0.3053745928338762</v>
      </c>
      <c r="T13" t="n">
        <v>15.40719174880912</v>
      </c>
      <c r="U13" t="n">
        <v>0.0932536419484557</v>
      </c>
      <c r="V13" t="n">
        <v>5.159055299214529</v>
      </c>
      <c r="W13" t="n">
        <v>16.79653520264599</v>
      </c>
      <c r="X13" t="n">
        <v>16.69155798857228</v>
      </c>
    </row>
    <row r="14">
      <c r="A14" t="inlineStr">
        <is>
          <t>DIASORIN</t>
        </is>
      </c>
      <c r="B14" t="n">
        <v>2021</v>
      </c>
      <c r="C14" t="inlineStr">
        <is>
          <t>Biomedical</t>
        </is>
      </c>
      <c r="D14" t="inlineStr">
        <is>
          <t>ITA</t>
        </is>
      </c>
      <c r="E14" t="inlineStr">
        <is>
          <t>Italy</t>
        </is>
      </c>
      <c r="F14" t="inlineStr">
        <is>
          <t>DEU</t>
        </is>
      </c>
      <c r="G14" t="inlineStr">
        <is>
          <t>Germany</t>
        </is>
      </c>
      <c r="H14" t="n">
        <v>85246000</v>
      </c>
      <c r="I14" t="n">
        <v>4402000</v>
      </c>
      <c r="J14" t="n">
        <v>949000</v>
      </c>
      <c r="K14" t="n">
        <v>187</v>
      </c>
      <c r="L14" t="n">
        <v>18152000</v>
      </c>
      <c r="M14" t="n">
        <v>1296000</v>
      </c>
      <c r="N14" t="n">
        <v>62725000</v>
      </c>
      <c r="O14" t="n">
        <v>22521000</v>
      </c>
      <c r="P14" t="inlineStr"/>
      <c r="Q14" t="inlineStr"/>
      <c r="R14" t="inlineStr">
        <is>
          <t>EUR</t>
        </is>
      </c>
      <c r="S14" t="n">
        <v>0.2944116310767833</v>
      </c>
      <c r="T14" t="n">
        <v>15.29756954106854</v>
      </c>
      <c r="U14" t="n">
        <v>0.08667820851329193</v>
      </c>
      <c r="V14" t="n">
        <v>5.231108616854587</v>
      </c>
      <c r="W14" t="n">
        <v>16.71429130544182</v>
      </c>
      <c r="X14" t="n">
        <v>16.92995876522325</v>
      </c>
    </row>
    <row r="15">
      <c r="A15" t="inlineStr">
        <is>
          <t>ENEL</t>
        </is>
      </c>
      <c r="B15" t="n">
        <v>2020</v>
      </c>
      <c r="C15" t="inlineStr">
        <is>
          <t>Utilities</t>
        </is>
      </c>
      <c r="D15" t="inlineStr">
        <is>
          <t>ITA</t>
        </is>
      </c>
      <c r="E15" t="inlineStr">
        <is>
          <t>Italy</t>
        </is>
      </c>
      <c r="F15" t="inlineStr">
        <is>
          <t>DEU</t>
        </is>
      </c>
      <c r="G15" t="inlineStr">
        <is>
          <t>Germany</t>
        </is>
      </c>
      <c r="H15" t="n">
        <v>260300000</v>
      </c>
      <c r="I15" t="n">
        <v>19900000</v>
      </c>
      <c r="J15" t="n">
        <v>300000</v>
      </c>
      <c r="K15" t="n">
        <v>23</v>
      </c>
      <c r="L15" t="n">
        <v>700000</v>
      </c>
      <c r="M15" t="n">
        <v>900000</v>
      </c>
      <c r="N15" t="n">
        <v>223200000</v>
      </c>
      <c r="O15" t="n">
        <v>37100000</v>
      </c>
      <c r="P15" t="inlineStr"/>
      <c r="Q15" t="inlineStr"/>
      <c r="R15" t="inlineStr">
        <is>
          <t>EUR</t>
        </is>
      </c>
      <c r="S15" t="n">
        <v>0.04522613065326633</v>
      </c>
      <c r="T15" t="n">
        <v>16.80623028969472</v>
      </c>
      <c r="U15" t="n">
        <v>0.002045402893866316</v>
      </c>
      <c r="V15" t="n">
        <v>3.13549421592915</v>
      </c>
      <c r="W15" t="n">
        <v>13.45883561402554</v>
      </c>
      <c r="X15" t="n">
        <v>17.42912752757766</v>
      </c>
    </row>
    <row r="16">
      <c r="A16" t="inlineStr">
        <is>
          <t>ENI</t>
        </is>
      </c>
      <c r="B16" t="n">
        <v>2017</v>
      </c>
      <c r="C16" t="inlineStr">
        <is>
          <t>Oil, Gas and Mining</t>
        </is>
      </c>
      <c r="D16" t="inlineStr">
        <is>
          <t>ITA</t>
        </is>
      </c>
      <c r="E16" t="inlineStr">
        <is>
          <t>Italy</t>
        </is>
      </c>
      <c r="F16" t="inlineStr">
        <is>
          <t>DEU</t>
        </is>
      </c>
      <c r="G16" t="inlineStr">
        <is>
          <t>Germany</t>
        </is>
      </c>
      <c r="H16" t="n">
        <v>4581842000</v>
      </c>
      <c r="I16" t="n">
        <v>109645000</v>
      </c>
      <c r="J16" t="n">
        <v>31557000</v>
      </c>
      <c r="K16" t="n">
        <v>552</v>
      </c>
      <c r="L16" t="n">
        <v>363912000</v>
      </c>
      <c r="M16" t="n">
        <v>34410000</v>
      </c>
      <c r="N16" t="n">
        <v>4121390000</v>
      </c>
      <c r="O16" t="n">
        <v>460452000</v>
      </c>
      <c r="P16" t="n">
        <v>94145000</v>
      </c>
      <c r="Q16" t="n">
        <v>74923000</v>
      </c>
      <c r="R16" t="inlineStr">
        <is>
          <t>EUR</t>
        </is>
      </c>
      <c r="S16" t="n">
        <v>0.3138310000456017</v>
      </c>
      <c r="T16" t="n">
        <v>18.51275843215327</v>
      </c>
      <c r="U16" t="n">
        <v>0.09848989658962247</v>
      </c>
      <c r="V16" t="n">
        <v>6.313548046277095</v>
      </c>
      <c r="W16" t="n">
        <v>19.71242263813102</v>
      </c>
      <c r="X16" t="n">
        <v>19.94771917369915</v>
      </c>
    </row>
    <row r="17">
      <c r="A17" t="inlineStr">
        <is>
          <t>ENI</t>
        </is>
      </c>
      <c r="B17" t="n">
        <v>2018</v>
      </c>
      <c r="C17" t="inlineStr">
        <is>
          <t>Oil, Gas and Mining</t>
        </is>
      </c>
      <c r="D17" t="inlineStr">
        <is>
          <t>ITA</t>
        </is>
      </c>
      <c r="E17" t="inlineStr">
        <is>
          <t>Italy</t>
        </is>
      </c>
      <c r="F17" t="inlineStr">
        <is>
          <t>DEU</t>
        </is>
      </c>
      <c r="G17" t="inlineStr">
        <is>
          <t>Germany</t>
        </is>
      </c>
      <c r="H17" t="n">
        <v>2716743000</v>
      </c>
      <c r="I17" t="n">
        <v>119618000</v>
      </c>
      <c r="J17" t="n">
        <v>48300000</v>
      </c>
      <c r="K17" t="n">
        <v>537</v>
      </c>
      <c r="L17" t="n">
        <v>375949000</v>
      </c>
      <c r="M17" t="n">
        <v>40798000</v>
      </c>
      <c r="N17" t="n">
        <v>2445724000</v>
      </c>
      <c r="O17" t="n">
        <v>271019000</v>
      </c>
      <c r="P17" t="n">
        <v>94145000</v>
      </c>
      <c r="Q17" t="n">
        <v>78231000</v>
      </c>
      <c r="R17" t="inlineStr">
        <is>
          <t>EUR</t>
        </is>
      </c>
      <c r="S17" t="n">
        <v>0.3410690698724272</v>
      </c>
      <c r="T17" t="n">
        <v>18.59981388982881</v>
      </c>
      <c r="U17" t="n">
        <v>0.1163281104236427</v>
      </c>
      <c r="V17" t="n">
        <v>6.285998094508865</v>
      </c>
      <c r="W17" t="n">
        <v>19.74496405385659</v>
      </c>
      <c r="X17" t="n">
        <v>19.41769948708744</v>
      </c>
    </row>
    <row r="18">
      <c r="A18" t="inlineStr">
        <is>
          <t>ENI</t>
        </is>
      </c>
      <c r="B18" t="n">
        <v>2019</v>
      </c>
      <c r="C18" t="inlineStr">
        <is>
          <t>Oil, Gas and Mining</t>
        </is>
      </c>
      <c r="D18" t="inlineStr">
        <is>
          <t>ITA</t>
        </is>
      </c>
      <c r="E18" t="inlineStr">
        <is>
          <t>Italy</t>
        </is>
      </c>
      <c r="F18" t="inlineStr">
        <is>
          <t>DEU</t>
        </is>
      </c>
      <c r="G18" t="inlineStr">
        <is>
          <t>Germany</t>
        </is>
      </c>
      <c r="H18" t="n">
        <v>2134506000</v>
      </c>
      <c r="I18" t="n">
        <v>58052000</v>
      </c>
      <c r="J18" t="n">
        <v>37876000</v>
      </c>
      <c r="K18" t="n">
        <v>534</v>
      </c>
      <c r="L18" t="n">
        <v>389328000</v>
      </c>
      <c r="M18" t="n">
        <v>19811000</v>
      </c>
      <c r="N18" t="n">
        <v>1867861000</v>
      </c>
      <c r="O18" t="n">
        <v>266645000</v>
      </c>
      <c r="P18" t="n">
        <v>94145000</v>
      </c>
      <c r="Q18" t="n">
        <v>45583000</v>
      </c>
      <c r="R18" t="inlineStr">
        <is>
          <t>EUR</t>
        </is>
      </c>
      <c r="S18" t="n">
        <v>0.341263005581203</v>
      </c>
      <c r="T18" t="n">
        <v>17.87684971857239</v>
      </c>
      <c r="U18" t="n">
        <v>0.1164604389783162</v>
      </c>
      <c r="V18" t="n">
        <v>6.280395838960195</v>
      </c>
      <c r="W18" t="n">
        <v>19.77993273396037</v>
      </c>
      <c r="X18" t="n">
        <v>19.40142874366313</v>
      </c>
    </row>
    <row r="19">
      <c r="A19" t="inlineStr">
        <is>
          <t>ENI</t>
        </is>
      </c>
      <c r="B19" t="n">
        <v>2021</v>
      </c>
      <c r="C19" t="inlineStr">
        <is>
          <t>Oil, Gas and Mining</t>
        </is>
      </c>
      <c r="D19" t="inlineStr">
        <is>
          <t>ITA</t>
        </is>
      </c>
      <c r="E19" t="inlineStr">
        <is>
          <t>Italy</t>
        </is>
      </c>
      <c r="F19" t="inlineStr">
        <is>
          <t>DEU</t>
        </is>
      </c>
      <c r="G19" t="inlineStr">
        <is>
          <t>Germany</t>
        </is>
      </c>
      <c r="H19" t="n">
        <v>2337294000</v>
      </c>
      <c r="I19" t="n">
        <v>124526000</v>
      </c>
      <c r="J19" t="n">
        <v>47126000</v>
      </c>
      <c r="K19" t="n">
        <v>517</v>
      </c>
      <c r="L19" t="n">
        <v>468892000</v>
      </c>
      <c r="M19" t="n">
        <v>36436000</v>
      </c>
      <c r="N19" t="n">
        <v>475124000</v>
      </c>
      <c r="O19" t="n">
        <v>1862170000</v>
      </c>
      <c r="P19" t="n">
        <v>241223000</v>
      </c>
      <c r="Q19" t="n">
        <v>-63612000</v>
      </c>
      <c r="R19" t="inlineStr">
        <is>
          <t>EUR</t>
        </is>
      </c>
      <c r="S19" t="n">
        <v>0.2925975298331272</v>
      </c>
      <c r="T19" t="n">
        <v>18.64002508740734</v>
      </c>
      <c r="U19" t="n">
        <v>0.08561331446444777</v>
      </c>
      <c r="V19" t="n">
        <v>6.248042874508429</v>
      </c>
      <c r="W19" t="n">
        <v>19.96588302270719</v>
      </c>
      <c r="X19" t="n">
        <v>21.34500831131149</v>
      </c>
    </row>
    <row r="20">
      <c r="A20" t="inlineStr">
        <is>
          <t>FERALPI</t>
        </is>
      </c>
      <c r="B20" t="n">
        <v>2021</v>
      </c>
      <c r="C20" t="inlineStr">
        <is>
          <t>Metals and Cement</t>
        </is>
      </c>
      <c r="D20" t="inlineStr">
        <is>
          <t>ITA</t>
        </is>
      </c>
      <c r="E20" t="inlineStr">
        <is>
          <t>Italy</t>
        </is>
      </c>
      <c r="F20" t="inlineStr">
        <is>
          <t>DEU</t>
        </is>
      </c>
      <c r="G20" t="inlineStr">
        <is>
          <t>Germany</t>
        </is>
      </c>
      <c r="H20" t="n">
        <v>635500000</v>
      </c>
      <c r="I20" t="n">
        <v>96500000</v>
      </c>
      <c r="J20" t="n">
        <v>8800000</v>
      </c>
      <c r="K20" t="n">
        <v>795</v>
      </c>
      <c r="L20" t="n">
        <v>352400000</v>
      </c>
      <c r="M20" t="n">
        <v>28500000</v>
      </c>
      <c r="N20" t="n">
        <v>599300000</v>
      </c>
      <c r="O20" t="n">
        <v>36200000</v>
      </c>
      <c r="P20" t="inlineStr"/>
      <c r="Q20" t="inlineStr"/>
      <c r="R20" t="inlineStr">
        <is>
          <t>EUR</t>
        </is>
      </c>
      <c r="S20" t="n">
        <v>0.2953367875647668</v>
      </c>
      <c r="T20" t="n">
        <v>18.38505356630921</v>
      </c>
      <c r="U20" t="n">
        <v>0.08722381808907621</v>
      </c>
      <c r="V20" t="n">
        <v>6.678342114654332</v>
      </c>
      <c r="W20" t="n">
        <v>19.6802774520263</v>
      </c>
      <c r="X20" t="n">
        <v>17.404569676796</v>
      </c>
    </row>
    <row r="21">
      <c r="A21" t="inlineStr">
        <is>
          <t>GRUNDFOS</t>
        </is>
      </c>
      <c r="B21" t="n">
        <v>2020</v>
      </c>
      <c r="C21" t="inlineStr">
        <is>
          <t>Industrial, Electric and Electronic Machinery</t>
        </is>
      </c>
      <c r="D21" t="inlineStr">
        <is>
          <t>DNK</t>
        </is>
      </c>
      <c r="E21" t="inlineStr">
        <is>
          <t>Denmark</t>
        </is>
      </c>
      <c r="F21" t="inlineStr">
        <is>
          <t>DEU</t>
        </is>
      </c>
      <c r="G21" t="inlineStr">
        <is>
          <t>Germany</t>
        </is>
      </c>
      <c r="H21" t="n">
        <v>379233452.281935</v>
      </c>
      <c r="I21" t="n">
        <v>38011993.2387111</v>
      </c>
      <c r="J21" t="n">
        <v>23923157.4146119</v>
      </c>
      <c r="K21" t="n">
        <v>1172</v>
      </c>
      <c r="L21" t="n">
        <v>41261034.0479193</v>
      </c>
      <c r="M21" t="n">
        <v>11412894.7439028</v>
      </c>
      <c r="N21" t="n">
        <v>271106490.30077</v>
      </c>
      <c r="O21" t="n">
        <v>108126961.981165</v>
      </c>
      <c r="P21" t="inlineStr"/>
      <c r="Q21" t="inlineStr"/>
      <c r="R21" t="inlineStr">
        <is>
          <t>EUR</t>
        </is>
      </c>
      <c r="S21" t="n">
        <v>0.3002445747117519</v>
      </c>
      <c r="T21" t="n">
        <v>17.45341227944084</v>
      </c>
      <c r="U21" t="n">
        <v>0.09014680464384074</v>
      </c>
      <c r="V21" t="n">
        <v>7.066466970136958</v>
      </c>
      <c r="W21" t="n">
        <v>17.53542912704611</v>
      </c>
      <c r="X21" t="n">
        <v>18.49881666854223</v>
      </c>
    </row>
    <row r="22">
      <c r="A22" t="inlineStr">
        <is>
          <t>IBERDROLA</t>
        </is>
      </c>
      <c r="B22" t="n">
        <v>2019</v>
      </c>
      <c r="C22" t="inlineStr">
        <is>
          <t>Utilities</t>
        </is>
      </c>
      <c r="D22" t="inlineStr">
        <is>
          <t>ESP</t>
        </is>
      </c>
      <c r="E22" t="inlineStr">
        <is>
          <t>Spain</t>
        </is>
      </c>
      <c r="F22" t="inlineStr">
        <is>
          <t>DEU</t>
        </is>
      </c>
      <c r="G22" t="inlineStr">
        <is>
          <t>Germany</t>
        </is>
      </c>
      <c r="H22" t="n">
        <v>296576549</v>
      </c>
      <c r="I22" t="n">
        <v>140455366</v>
      </c>
      <c r="J22" t="n">
        <v>845</v>
      </c>
      <c r="K22" t="n">
        <v>59</v>
      </c>
      <c r="L22" t="n">
        <v>1509253548</v>
      </c>
      <c r="M22" t="n">
        <v>32216277</v>
      </c>
      <c r="N22" t="n">
        <v>253472539</v>
      </c>
      <c r="O22" t="n">
        <v>43104010</v>
      </c>
      <c r="P22" t="inlineStr"/>
      <c r="Q22" t="n">
        <v>529207059</v>
      </c>
      <c r="R22" t="inlineStr">
        <is>
          <t>EUR</t>
        </is>
      </c>
      <c r="S22" t="n">
        <v>0.2293702114592048</v>
      </c>
      <c r="T22" t="n">
        <v>18.76040031655188</v>
      </c>
      <c r="U22" t="n">
        <v>0.05261069390484031</v>
      </c>
      <c r="V22" t="n">
        <v>4.07753744390572</v>
      </c>
      <c r="W22" t="n">
        <v>21.13488102647456</v>
      </c>
      <c r="X22" t="n">
        <v>17.57912659018923</v>
      </c>
    </row>
    <row r="23">
      <c r="A23" t="inlineStr">
        <is>
          <t>IBERDROLA</t>
        </is>
      </c>
      <c r="B23" t="n">
        <v>2020</v>
      </c>
      <c r="C23" t="inlineStr">
        <is>
          <t>Utilities</t>
        </is>
      </c>
      <c r="D23" t="inlineStr">
        <is>
          <t>ESP</t>
        </is>
      </c>
      <c r="E23" t="inlineStr">
        <is>
          <t>Spain</t>
        </is>
      </c>
      <c r="F23" t="inlineStr">
        <is>
          <t>DEU</t>
        </is>
      </c>
      <c r="G23" t="inlineStr">
        <is>
          <t>Germany</t>
        </is>
      </c>
      <c r="H23" t="n">
        <v>391000000</v>
      </c>
      <c r="I23" t="n">
        <v>144000000</v>
      </c>
      <c r="J23" t="n">
        <v>68000000</v>
      </c>
      <c r="K23" t="n">
        <v>85</v>
      </c>
      <c r="L23" t="n">
        <v>1503000000</v>
      </c>
      <c r="M23" t="n">
        <v>39000000</v>
      </c>
      <c r="N23" t="n">
        <v>364000000</v>
      </c>
      <c r="O23" t="n">
        <v>27000000</v>
      </c>
      <c r="P23" t="inlineStr"/>
      <c r="Q23" t="inlineStr"/>
      <c r="R23" t="inlineStr">
        <is>
          <t>EUR</t>
        </is>
      </c>
      <c r="S23" t="n">
        <v>0.2708333333333333</v>
      </c>
      <c r="T23" t="n">
        <v>18.78532385754027</v>
      </c>
      <c r="U23" t="n">
        <v>0.07335069444444443</v>
      </c>
      <c r="V23" t="n">
        <v>4.442651256490317</v>
      </c>
      <c r="W23" t="n">
        <v>21.13072894771725</v>
      </c>
      <c r="X23" t="n">
        <v>17.1113474239686</v>
      </c>
    </row>
    <row r="24">
      <c r="A24" t="inlineStr">
        <is>
          <t>IBERDROLA</t>
        </is>
      </c>
      <c r="B24" t="n">
        <v>2021</v>
      </c>
      <c r="C24" t="inlineStr">
        <is>
          <t>Utilities</t>
        </is>
      </c>
      <c r="D24" t="inlineStr">
        <is>
          <t>ESP</t>
        </is>
      </c>
      <c r="E24" t="inlineStr">
        <is>
          <t>Spain</t>
        </is>
      </c>
      <c r="F24" t="inlineStr">
        <is>
          <t>DEU</t>
        </is>
      </c>
      <c r="G24" t="inlineStr">
        <is>
          <t>Germany</t>
        </is>
      </c>
      <c r="H24" t="n">
        <v>438000000</v>
      </c>
      <c r="I24" t="n">
        <v>128000000</v>
      </c>
      <c r="J24" t="n">
        <v>49000000</v>
      </c>
      <c r="K24" t="n">
        <v>97</v>
      </c>
      <c r="L24" t="n">
        <v>1571000000</v>
      </c>
      <c r="M24" t="n">
        <v>33000000</v>
      </c>
      <c r="N24" t="n">
        <v>292000000</v>
      </c>
      <c r="O24" t="n">
        <v>146000000</v>
      </c>
      <c r="P24" t="inlineStr"/>
      <c r="Q24" t="inlineStr"/>
      <c r="R24" t="inlineStr">
        <is>
          <t>EUR</t>
        </is>
      </c>
      <c r="S24" t="n">
        <v>0.2578125</v>
      </c>
      <c r="T24" t="n">
        <v>18.66754082188389</v>
      </c>
      <c r="U24" t="n">
        <v>0.06646728515625</v>
      </c>
      <c r="V24" t="n">
        <v>4.574710978503383</v>
      </c>
      <c r="W24" t="n">
        <v>21.1749781962199</v>
      </c>
      <c r="X24" t="n">
        <v>18.79911717967261</v>
      </c>
    </row>
    <row r="25">
      <c r="A25" t="inlineStr">
        <is>
          <t>INTERPUMP</t>
        </is>
      </c>
      <c r="B25" t="n">
        <v>2021</v>
      </c>
      <c r="C25" t="inlineStr">
        <is>
          <t>Industrial, Electric and Electronic Machinery</t>
        </is>
      </c>
      <c r="D25" t="inlineStr">
        <is>
          <t>ITA</t>
        </is>
      </c>
      <c r="E25" t="inlineStr">
        <is>
          <t>Italy</t>
        </is>
      </c>
      <c r="F25" t="inlineStr">
        <is>
          <t>DEU</t>
        </is>
      </c>
      <c r="G25" t="inlineStr">
        <is>
          <t>Germany</t>
        </is>
      </c>
      <c r="H25" t="n">
        <v>122460000</v>
      </c>
      <c r="I25" t="n">
        <v>30720000</v>
      </c>
      <c r="J25" t="n">
        <v>8253000</v>
      </c>
      <c r="K25" t="n">
        <v>538</v>
      </c>
      <c r="L25" t="n">
        <v>29062000</v>
      </c>
      <c r="M25" t="n">
        <v>9345000</v>
      </c>
      <c r="N25" t="n">
        <v>89688000</v>
      </c>
      <c r="O25" t="n">
        <v>32772000</v>
      </c>
      <c r="P25" t="n">
        <v>54768000</v>
      </c>
      <c r="Q25" t="n">
        <v>86343000</v>
      </c>
      <c r="R25" t="inlineStr">
        <is>
          <t>EUR</t>
        </is>
      </c>
      <c r="S25" t="n">
        <v>0.30419921875</v>
      </c>
      <c r="T25" t="n">
        <v>17.24042446624374</v>
      </c>
      <c r="U25" t="n">
        <v>0.09253716468811035</v>
      </c>
      <c r="V25" t="n">
        <v>6.287858560161784</v>
      </c>
      <c r="W25" t="n">
        <v>17.18494203686278</v>
      </c>
      <c r="X25" t="n">
        <v>17.30508505024384</v>
      </c>
    </row>
    <row r="26">
      <c r="A26" t="inlineStr">
        <is>
          <t>ØRSTED</t>
        </is>
      </c>
      <c r="B26" t="n">
        <v>2020</v>
      </c>
      <c r="C26" t="inlineStr">
        <is>
          <t>Utilities</t>
        </is>
      </c>
      <c r="D26" t="inlineStr">
        <is>
          <t>DNK</t>
        </is>
      </c>
      <c r="E26" t="inlineStr">
        <is>
          <t>Denmark</t>
        </is>
      </c>
      <c r="F26" t="inlineStr">
        <is>
          <t>DEU</t>
        </is>
      </c>
      <c r="G26" t="inlineStr">
        <is>
          <t>Germany</t>
        </is>
      </c>
      <c r="H26" t="n">
        <v>490059295.430764</v>
      </c>
      <c r="I26" t="n">
        <v>124761879.209037</v>
      </c>
      <c r="J26" t="n">
        <v>268305.116578573</v>
      </c>
      <c r="K26" t="n">
        <v>219</v>
      </c>
      <c r="L26" t="n">
        <v>1511094416.57052</v>
      </c>
      <c r="M26" t="n">
        <v>37428563.762711</v>
      </c>
      <c r="N26" t="n">
        <v>398164793.002603</v>
      </c>
      <c r="O26" t="n">
        <v>91894502.42816129</v>
      </c>
      <c r="P26" t="inlineStr"/>
      <c r="Q26" t="inlineStr"/>
      <c r="R26" t="inlineStr">
        <is>
          <t>EUR</t>
        </is>
      </c>
      <c r="S26" t="n">
        <v>0.2999999999999992</v>
      </c>
      <c r="T26" t="n">
        <v>18.64191751218291</v>
      </c>
      <c r="U26" t="n">
        <v>0.08999999999999952</v>
      </c>
      <c r="V26" t="n">
        <v>5.389071729816501</v>
      </c>
      <c r="W26" t="n">
        <v>21.13610000443343</v>
      </c>
      <c r="X26" t="n">
        <v>18.33615176429783</v>
      </c>
    </row>
    <row r="27">
      <c r="A27" t="inlineStr">
        <is>
          <t>PEARSON</t>
        </is>
      </c>
      <c r="B27" t="n">
        <v>2020</v>
      </c>
      <c r="C27" t="inlineStr">
        <is>
          <t>Printing &amp; Publishing</t>
        </is>
      </c>
      <c r="D27" t="inlineStr">
        <is>
          <t>GBR</t>
        </is>
      </c>
      <c r="E27" t="inlineStr">
        <is>
          <t>United Kingdom</t>
        </is>
      </c>
      <c r="F27" t="inlineStr">
        <is>
          <t>DEU</t>
        </is>
      </c>
      <c r="G27" t="inlineStr">
        <is>
          <t>Germany</t>
        </is>
      </c>
      <c r="H27" t="n">
        <v>30347308.0813757</v>
      </c>
      <c r="I27" t="n">
        <v>4495897.49353715</v>
      </c>
      <c r="J27" t="n">
        <v>1123974.37338429</v>
      </c>
      <c r="K27" t="n">
        <v>134</v>
      </c>
      <c r="L27" t="n">
        <v>5619871.86692143</v>
      </c>
      <c r="M27" t="n">
        <v>1123974.37338429</v>
      </c>
      <c r="N27" t="n">
        <v>29223333.7079915</v>
      </c>
      <c r="O27" t="n">
        <v>1123974.37338429</v>
      </c>
      <c r="P27" t="n">
        <v>66314488.0296729</v>
      </c>
      <c r="Q27" t="n">
        <v>-22479487.4676857</v>
      </c>
      <c r="R27" t="inlineStr">
        <is>
          <t>EUR</t>
        </is>
      </c>
      <c r="S27" t="n">
        <v>0.2500000000000005</v>
      </c>
      <c r="T27" t="n">
        <v>15.31867587081558</v>
      </c>
      <c r="U27" t="n">
        <v>0.06250000000000025</v>
      </c>
      <c r="V27" t="n">
        <v>4.897839799950911</v>
      </c>
      <c r="W27" t="n">
        <v>15.54181942212979</v>
      </c>
      <c r="X27" t="n">
        <v>13.93238150969569</v>
      </c>
    </row>
    <row r="28">
      <c r="A28" t="inlineStr">
        <is>
          <t>PEARSON</t>
        </is>
      </c>
      <c r="B28" t="n">
        <v>2021</v>
      </c>
      <c r="C28" t="inlineStr">
        <is>
          <t>Printing &amp; Publishing</t>
        </is>
      </c>
      <c r="D28" t="inlineStr">
        <is>
          <t>GBR</t>
        </is>
      </c>
      <c r="E28" t="inlineStr">
        <is>
          <t>United Kingdom</t>
        </is>
      </c>
      <c r="F28" t="inlineStr">
        <is>
          <t>DEU</t>
        </is>
      </c>
      <c r="G28" t="inlineStr">
        <is>
          <t>Germany</t>
        </is>
      </c>
      <c r="H28" t="n">
        <v>29221731.037692</v>
      </c>
      <c r="I28" t="n">
        <v>1425081.43322476</v>
      </c>
      <c r="J28" t="n">
        <v>446719.404374128</v>
      </c>
      <c r="K28" t="n">
        <v>132</v>
      </c>
      <c r="L28" t="n">
        <v>5666589.11121452</v>
      </c>
      <c r="M28" t="n">
        <v>271056.30525826</v>
      </c>
      <c r="N28" t="n">
        <v>28413215.4490461</v>
      </c>
      <c r="O28" t="n">
        <v>808515.588645882</v>
      </c>
      <c r="P28" t="n">
        <v>63802931.5960912</v>
      </c>
      <c r="Q28" t="n">
        <v>-19498604.0018613</v>
      </c>
      <c r="R28" t="inlineStr">
        <is>
          <t>EUR</t>
        </is>
      </c>
      <c r="S28" t="n">
        <v>0.1902040816326527</v>
      </c>
      <c r="T28" t="n">
        <v>14.16973951617475</v>
      </c>
      <c r="U28" t="n">
        <v>0.03617759266972082</v>
      </c>
      <c r="V28" t="n">
        <v>4.882801922586371</v>
      </c>
      <c r="W28" t="n">
        <v>15.55009792700246</v>
      </c>
      <c r="X28" t="n">
        <v>13.60295523876071</v>
      </c>
    </row>
    <row r="29">
      <c r="A29" t="inlineStr">
        <is>
          <t>PHILIPS</t>
        </is>
      </c>
      <c r="B29" t="n">
        <v>2020</v>
      </c>
      <c r="C29" t="inlineStr">
        <is>
          <t>Industrial, Electric and Electronic Machinery</t>
        </is>
      </c>
      <c r="D29" t="inlineStr">
        <is>
          <t>NLD</t>
        </is>
      </c>
      <c r="E29" t="inlineStr">
        <is>
          <t>Netherlands</t>
        </is>
      </c>
      <c r="F29" t="inlineStr">
        <is>
          <t>DEU</t>
        </is>
      </c>
      <c r="G29" t="inlineStr">
        <is>
          <t>Germany</t>
        </is>
      </c>
      <c r="H29" t="n">
        <v>3193990000</v>
      </c>
      <c r="I29" t="n">
        <v>502120000</v>
      </c>
      <c r="J29" t="n">
        <v>185120000</v>
      </c>
      <c r="K29" t="n">
        <v>3825</v>
      </c>
      <c r="L29" t="n">
        <v>172690000</v>
      </c>
      <c r="M29" t="n">
        <v>117550000</v>
      </c>
      <c r="N29" t="n">
        <v>1344510000</v>
      </c>
      <c r="O29" t="n">
        <v>1849480000</v>
      </c>
      <c r="P29" t="inlineStr"/>
      <c r="Q29" t="inlineStr"/>
      <c r="R29" t="inlineStr">
        <is>
          <t>EUR</t>
        </is>
      </c>
      <c r="S29" t="n">
        <v>0.234107384688919</v>
      </c>
      <c r="T29" t="n">
        <v>20.03434969291428</v>
      </c>
      <c r="U29" t="n">
        <v>0.0548062675658855</v>
      </c>
      <c r="V29" t="n">
        <v>8.249313746260636</v>
      </c>
      <c r="W29" t="n">
        <v>18.96700863756085</v>
      </c>
      <c r="X29" t="n">
        <v>21.33817035544487</v>
      </c>
    </row>
    <row r="30">
      <c r="A30" t="inlineStr">
        <is>
          <t>PHILIPS</t>
        </is>
      </c>
      <c r="B30" t="n">
        <v>2021</v>
      </c>
      <c r="C30" t="inlineStr">
        <is>
          <t>Industrial, Electric and Electronic Machinery</t>
        </is>
      </c>
      <c r="D30" t="inlineStr">
        <is>
          <t>NLD</t>
        </is>
      </c>
      <c r="E30" t="inlineStr">
        <is>
          <t>Netherlands</t>
        </is>
      </c>
      <c r="F30" t="inlineStr">
        <is>
          <t>DEU</t>
        </is>
      </c>
      <c r="G30" t="inlineStr">
        <is>
          <t>Germany</t>
        </is>
      </c>
      <c r="H30" t="n">
        <v>2261170000</v>
      </c>
      <c r="I30" t="n">
        <v>130530000</v>
      </c>
      <c r="J30" t="n">
        <v>27700000</v>
      </c>
      <c r="K30" t="n">
        <v>3762</v>
      </c>
      <c r="L30" t="n">
        <v>168500000</v>
      </c>
      <c r="M30" t="n">
        <v>35920000</v>
      </c>
      <c r="N30" t="n">
        <v>970430000</v>
      </c>
      <c r="O30" t="n">
        <v>1290740000</v>
      </c>
      <c r="P30" t="inlineStr"/>
      <c r="Q30" t="inlineStr"/>
      <c r="R30" t="inlineStr">
        <is>
          <t>EUR</t>
        </is>
      </c>
      <c r="S30" t="n">
        <v>0.2751857810465027</v>
      </c>
      <c r="T30" t="n">
        <v>18.68711364336497</v>
      </c>
      <c r="U30" t="n">
        <v>0.07572721409017373</v>
      </c>
      <c r="V30" t="n">
        <v>8.232706009860976</v>
      </c>
      <c r="W30" t="n">
        <v>18.94244630775669</v>
      </c>
      <c r="X30" t="n">
        <v>20.97848153426036</v>
      </c>
    </row>
    <row r="31">
      <c r="A31" t="inlineStr">
        <is>
          <t>PRYSMIAN</t>
        </is>
      </c>
      <c r="B31" t="n">
        <v>2021</v>
      </c>
      <c r="C31" t="inlineStr">
        <is>
          <t>Communications</t>
        </is>
      </c>
      <c r="D31" t="inlineStr">
        <is>
          <t>ITA</t>
        </is>
      </c>
      <c r="E31" t="inlineStr">
        <is>
          <t>Italy</t>
        </is>
      </c>
      <c r="F31" t="inlineStr">
        <is>
          <t>DEU</t>
        </is>
      </c>
      <c r="G31" t="inlineStr">
        <is>
          <t>Germany</t>
        </is>
      </c>
      <c r="H31" t="n">
        <v>1126000000</v>
      </c>
      <c r="I31" t="n">
        <v>10000000</v>
      </c>
      <c r="J31" t="n">
        <v>1000000</v>
      </c>
      <c r="K31" t="n">
        <v>1910</v>
      </c>
      <c r="L31" t="n">
        <v>322000000</v>
      </c>
      <c r="M31" t="n">
        <v>3000000</v>
      </c>
      <c r="N31" t="n">
        <v>836000000</v>
      </c>
      <c r="O31" t="n">
        <v>290000000</v>
      </c>
      <c r="P31" t="inlineStr"/>
      <c r="Q31" t="inlineStr"/>
      <c r="R31" t="inlineStr">
        <is>
          <t>EUR</t>
        </is>
      </c>
      <c r="S31" t="n">
        <v>0.3</v>
      </c>
      <c r="T31" t="n">
        <v>16.11809565095832</v>
      </c>
      <c r="U31" t="n">
        <v>0.09</v>
      </c>
      <c r="V31" t="n">
        <v>7.554858521040676</v>
      </c>
      <c r="W31" t="n">
        <v>19.59006210350868</v>
      </c>
      <c r="X31" t="n">
        <v>19.4853914809448</v>
      </c>
    </row>
    <row r="32">
      <c r="A32" t="inlineStr">
        <is>
          <t>RIO TINTO</t>
        </is>
      </c>
      <c r="B32" t="n">
        <v>2018</v>
      </c>
      <c r="C32" t="inlineStr">
        <is>
          <t>Oil, Gas and Mining</t>
        </is>
      </c>
      <c r="D32" t="inlineStr">
        <is>
          <t>AUS</t>
        </is>
      </c>
      <c r="E32" t="inlineStr">
        <is>
          <t>Australia</t>
        </is>
      </c>
      <c r="F32" t="inlineStr">
        <is>
          <t>DEU</t>
        </is>
      </c>
      <c r="G32" t="inlineStr">
        <is>
          <t>Germany</t>
        </is>
      </c>
      <c r="H32" t="n">
        <v>10716895.8509738</v>
      </c>
      <c r="I32" t="n">
        <v>3379147.33276884</v>
      </c>
      <c r="J32" t="n">
        <v>-123898.391193903</v>
      </c>
      <c r="K32" t="n">
        <v>19</v>
      </c>
      <c r="L32" t="n">
        <v>22057.5783234547</v>
      </c>
      <c r="M32" t="n">
        <v>401566.469093988</v>
      </c>
      <c r="N32" t="n">
        <v>44738.3573243014</v>
      </c>
      <c r="O32" t="n">
        <v>10672157.4936494</v>
      </c>
      <c r="P32" t="inlineStr"/>
      <c r="Q32" t="inlineStr"/>
      <c r="R32" t="inlineStr">
        <is>
          <t>EUR</t>
        </is>
      </c>
      <c r="S32" t="n">
        <v>0.1188366263879203</v>
      </c>
      <c r="T32" t="n">
        <v>15.03313396722259</v>
      </c>
      <c r="U32" t="n">
        <v>0.01412214377126216</v>
      </c>
      <c r="V32" t="n">
        <v>2.94443897916644</v>
      </c>
      <c r="W32" t="n">
        <v>10.00141150996629</v>
      </c>
      <c r="X32" t="n">
        <v>16.18314880467945</v>
      </c>
    </row>
    <row r="33">
      <c r="A33" t="inlineStr">
        <is>
          <t>RIO TINTO</t>
        </is>
      </c>
      <c r="B33" t="n">
        <v>2019</v>
      </c>
      <c r="C33" t="inlineStr">
        <is>
          <t>Oil, Gas and Mining</t>
        </is>
      </c>
      <c r="D33" t="inlineStr">
        <is>
          <t>AUS</t>
        </is>
      </c>
      <c r="E33" t="inlineStr">
        <is>
          <t>Australia</t>
        </is>
      </c>
      <c r="F33" t="inlineStr">
        <is>
          <t>DEU</t>
        </is>
      </c>
      <c r="G33" t="inlineStr">
        <is>
          <t>Germany</t>
        </is>
      </c>
      <c r="H33" t="n">
        <v>8842150.960250109</v>
      </c>
      <c r="I33" t="n">
        <v>3519457.79365788</v>
      </c>
      <c r="J33" t="n">
        <v>625377.4006252791</v>
      </c>
      <c r="K33" t="n">
        <v>22</v>
      </c>
      <c r="L33" t="n">
        <v>54361.7686467173</v>
      </c>
      <c r="M33" t="n">
        <v>79038.8566324252</v>
      </c>
      <c r="N33" t="n">
        <v>509154.979901742</v>
      </c>
      <c r="O33" t="n">
        <v>8332995.98034837</v>
      </c>
      <c r="P33" t="inlineStr"/>
      <c r="Q33" t="inlineStr"/>
      <c r="R33" t="inlineStr">
        <is>
          <t>EUR</t>
        </is>
      </c>
      <c r="S33" t="n">
        <v>0.02245767992298544</v>
      </c>
      <c r="T33" t="n">
        <v>15.07381749981688</v>
      </c>
      <c r="U33" t="n">
        <v>0.0005043473875232633</v>
      </c>
      <c r="V33" t="n">
        <v>3.091042453358316</v>
      </c>
      <c r="W33" t="n">
        <v>10.90341640354738</v>
      </c>
      <c r="X33" t="n">
        <v>15.93573361098674</v>
      </c>
    </row>
    <row r="34">
      <c r="A34" t="inlineStr">
        <is>
          <t>RIO TINTO</t>
        </is>
      </c>
      <c r="B34" t="n">
        <v>2020</v>
      </c>
      <c r="C34" t="inlineStr">
        <is>
          <t>Oil, Gas and Mining</t>
        </is>
      </c>
      <c r="D34" t="inlineStr">
        <is>
          <t>AUS</t>
        </is>
      </c>
      <c r="E34" t="inlineStr">
        <is>
          <t>Australia</t>
        </is>
      </c>
      <c r="F34" t="inlineStr">
        <is>
          <t>DEU</t>
        </is>
      </c>
      <c r="G34" t="inlineStr">
        <is>
          <t>Germany</t>
        </is>
      </c>
      <c r="H34" t="n">
        <v>5836082.99772369</v>
      </c>
      <c r="I34" t="n">
        <v>4692134.47732446</v>
      </c>
      <c r="J34" t="n">
        <v>396965.50516547</v>
      </c>
      <c r="K34" t="n">
        <v>18</v>
      </c>
      <c r="L34" t="n">
        <v>1866243.21484854</v>
      </c>
      <c r="M34" t="n">
        <v>810240.763438977</v>
      </c>
      <c r="N34" t="n">
        <v>439248.81807039</v>
      </c>
      <c r="O34" t="n">
        <v>5396834.1796533</v>
      </c>
      <c r="P34" t="inlineStr"/>
      <c r="Q34" t="inlineStr"/>
      <c r="R34" t="inlineStr">
        <is>
          <t>EUR</t>
        </is>
      </c>
      <c r="S34" t="n">
        <v>0.1726806355091917</v>
      </c>
      <c r="T34" t="n">
        <v>15.36139814932613</v>
      </c>
      <c r="U34" t="n">
        <v>0.02981860187985833</v>
      </c>
      <c r="V34" t="n">
        <v>2.890371757896165</v>
      </c>
      <c r="W34" t="n">
        <v>14.43943799211482</v>
      </c>
      <c r="X34" t="n">
        <v>15.50132307658797</v>
      </c>
    </row>
    <row r="35">
      <c r="A35" t="inlineStr">
        <is>
          <t>RIO TINTO</t>
        </is>
      </c>
      <c r="B35" t="n">
        <v>2021</v>
      </c>
      <c r="C35" t="inlineStr">
        <is>
          <t>Oil, Gas and Mining</t>
        </is>
      </c>
      <c r="D35" t="inlineStr">
        <is>
          <t>AUS</t>
        </is>
      </c>
      <c r="E35" t="inlineStr">
        <is>
          <t>Australia</t>
        </is>
      </c>
      <c r="F35" t="inlineStr">
        <is>
          <t>DEU</t>
        </is>
      </c>
      <c r="G35" t="inlineStr">
        <is>
          <t>Germany</t>
        </is>
      </c>
      <c r="H35" t="n">
        <v>4793489.4732392</v>
      </c>
      <c r="I35" t="n">
        <v>8070377.94876131</v>
      </c>
      <c r="J35" t="n">
        <v>202452.862095206</v>
      </c>
      <c r="K35" t="n">
        <v>18</v>
      </c>
      <c r="L35" t="n">
        <v>1585673.45903441</v>
      </c>
      <c r="M35" t="n">
        <v>291047.60294242</v>
      </c>
      <c r="N35" t="n">
        <v>309455.483216369</v>
      </c>
      <c r="O35" t="n">
        <v>4484033.99002283</v>
      </c>
      <c r="P35" t="inlineStr"/>
      <c r="Q35" t="inlineStr"/>
      <c r="R35" t="inlineStr">
        <is>
          <t>EUR</t>
        </is>
      </c>
      <c r="S35" t="n">
        <v>0.03606368930801955</v>
      </c>
      <c r="T35" t="n">
        <v>15.90371087294888</v>
      </c>
      <c r="U35" t="n">
        <v>0.001300589686505364</v>
      </c>
      <c r="V35" t="n">
        <v>2.890371757896165</v>
      </c>
      <c r="W35" t="n">
        <v>14.27651977034092</v>
      </c>
      <c r="X35" t="n">
        <v>15.31603364343601</v>
      </c>
    </row>
    <row r="36">
      <c r="A36" t="inlineStr">
        <is>
          <t>SHELL</t>
        </is>
      </c>
      <c r="B36" t="n">
        <v>2018</v>
      </c>
      <c r="C36" t="inlineStr">
        <is>
          <t>Oil, Gas and Mining</t>
        </is>
      </c>
      <c r="D36" t="inlineStr">
        <is>
          <t>GBR</t>
        </is>
      </c>
      <c r="E36" t="inlineStr">
        <is>
          <t>United Kingdom</t>
        </is>
      </c>
      <c r="F36" t="inlineStr">
        <is>
          <t>DEU</t>
        </is>
      </c>
      <c r="G36" t="inlineStr">
        <is>
          <t>Germany</t>
        </is>
      </c>
      <c r="H36" t="n">
        <v>26513992596.9517</v>
      </c>
      <c r="I36" t="n">
        <v>137669923.793395</v>
      </c>
      <c r="J36" t="n">
        <v>58519557.1549534</v>
      </c>
      <c r="K36" t="n">
        <v>3339</v>
      </c>
      <c r="L36" t="n">
        <v>4557269917.01947</v>
      </c>
      <c r="M36" t="n">
        <v>36482850.9737511</v>
      </c>
      <c r="N36" t="n">
        <v>16874842378.4928</v>
      </c>
      <c r="O36" t="n">
        <v>9639150218.458929</v>
      </c>
      <c r="P36" t="inlineStr"/>
      <c r="Q36" t="n">
        <v>-2027616022.86198</v>
      </c>
      <c r="R36" t="inlineStr">
        <is>
          <t>EUR</t>
        </is>
      </c>
      <c r="S36" t="n">
        <v>0.2650023328879146</v>
      </c>
      <c r="T36" t="n">
        <v>18.7403695214935</v>
      </c>
      <c r="U36" t="n">
        <v>0.07022623643603709</v>
      </c>
      <c r="V36" t="n">
        <v>8.113426639943654</v>
      </c>
      <c r="W36" t="n">
        <v>22.23998957877084</v>
      </c>
      <c r="X36" t="n">
        <v>22.98909879007114</v>
      </c>
    </row>
    <row r="37">
      <c r="A37" t="inlineStr">
        <is>
          <t>SOL</t>
        </is>
      </c>
      <c r="B37" t="n">
        <v>2020</v>
      </c>
      <c r="C37" t="inlineStr">
        <is>
          <t>Unclassified Manufacturing</t>
        </is>
      </c>
      <c r="D37" t="inlineStr">
        <is>
          <t>ITA</t>
        </is>
      </c>
      <c r="E37" t="inlineStr">
        <is>
          <t>Italy</t>
        </is>
      </c>
      <c r="F37" t="inlineStr">
        <is>
          <t>DEU</t>
        </is>
      </c>
      <c r="G37" t="inlineStr">
        <is>
          <t>Germany</t>
        </is>
      </c>
      <c r="H37" t="n">
        <v>148590000</v>
      </c>
      <c r="I37" t="n">
        <v>17270000</v>
      </c>
      <c r="J37" t="n">
        <v>4320000</v>
      </c>
      <c r="K37" t="n">
        <v>668</v>
      </c>
      <c r="L37" t="n">
        <v>69900000</v>
      </c>
      <c r="M37" t="n">
        <v>5290000</v>
      </c>
      <c r="N37" t="n">
        <v>127490000</v>
      </c>
      <c r="O37" t="n">
        <v>21100000</v>
      </c>
      <c r="P37" t="inlineStr"/>
      <c r="Q37" t="inlineStr"/>
      <c r="R37" t="inlineStr">
        <is>
          <t>EUR</t>
        </is>
      </c>
      <c r="S37" t="n">
        <v>0.3063115228720324</v>
      </c>
      <c r="T37" t="n">
        <v>16.66448145012286</v>
      </c>
      <c r="U37" t="n">
        <v>0.09382674904418366</v>
      </c>
      <c r="V37" t="n">
        <v>6.504288173536645</v>
      </c>
      <c r="W37" t="n">
        <v>18.06257620720404</v>
      </c>
      <c r="X37" t="n">
        <v>16.86478359844629</v>
      </c>
    </row>
    <row r="38">
      <c r="A38" t="inlineStr">
        <is>
          <t>SOL</t>
        </is>
      </c>
      <c r="B38" t="n">
        <v>2021</v>
      </c>
      <c r="C38" t="inlineStr">
        <is>
          <t>Unclassified Manufacturing</t>
        </is>
      </c>
      <c r="D38" t="inlineStr">
        <is>
          <t>ITA</t>
        </is>
      </c>
      <c r="E38" t="inlineStr">
        <is>
          <t>Italy</t>
        </is>
      </c>
      <c r="F38" t="inlineStr">
        <is>
          <t>DEU</t>
        </is>
      </c>
      <c r="G38" t="inlineStr">
        <is>
          <t>Germany</t>
        </is>
      </c>
      <c r="H38" t="n">
        <v>164330000</v>
      </c>
      <c r="I38" t="n">
        <v>25240000</v>
      </c>
      <c r="J38" t="n">
        <v>6030000</v>
      </c>
      <c r="K38" t="n">
        <v>729</v>
      </c>
      <c r="L38" t="n">
        <v>62660000</v>
      </c>
      <c r="M38" t="n">
        <v>5980000</v>
      </c>
      <c r="N38" t="n">
        <v>141360000</v>
      </c>
      <c r="O38" t="n">
        <v>22970000</v>
      </c>
      <c r="P38" t="inlineStr"/>
      <c r="Q38" t="inlineStr"/>
      <c r="R38" t="inlineStr">
        <is>
          <t>EUR</t>
        </is>
      </c>
      <c r="S38" t="n">
        <v>0.2369255150554675</v>
      </c>
      <c r="T38" t="n">
        <v>17.04394059563729</v>
      </c>
      <c r="U38" t="n">
        <v>0.05613369968429856</v>
      </c>
      <c r="V38" t="n">
        <v>6.591673732008658</v>
      </c>
      <c r="W38" t="n">
        <v>17.95323384348832</v>
      </c>
      <c r="X38" t="n">
        <v>16.94969957466528</v>
      </c>
    </row>
    <row r="39">
      <c r="A39" t="inlineStr">
        <is>
          <t>SWISS LIFE</t>
        </is>
      </c>
      <c r="B39" t="n">
        <v>2020</v>
      </c>
      <c r="C39" t="inlineStr">
        <is>
          <t>Business and Financial Services</t>
        </is>
      </c>
      <c r="D39" t="inlineStr">
        <is>
          <t>CHE</t>
        </is>
      </c>
      <c r="E39" t="inlineStr">
        <is>
          <t>Switzerland</t>
        </is>
      </c>
      <c r="F39" t="inlineStr">
        <is>
          <t>DEU</t>
        </is>
      </c>
      <c r="G39" t="inlineStr">
        <is>
          <t>Germany</t>
        </is>
      </c>
      <c r="H39" t="n">
        <v>2838860345.63288</v>
      </c>
      <c r="I39" t="n">
        <v>171882297.991593</v>
      </c>
      <c r="J39" t="n">
        <v>46707146.1933676</v>
      </c>
      <c r="K39" t="n">
        <v>2296</v>
      </c>
      <c r="L39" t="n">
        <v>2496964035.49743</v>
      </c>
      <c r="M39" t="n">
        <v>51377860.8127043</v>
      </c>
      <c r="N39" t="n">
        <v>2426903316.20738</v>
      </c>
      <c r="O39" t="n">
        <v>411957029.425502</v>
      </c>
      <c r="P39" t="inlineStr"/>
      <c r="Q39" t="inlineStr"/>
      <c r="R39" t="inlineStr">
        <is>
          <t>EUR</t>
        </is>
      </c>
      <c r="S39" t="n">
        <v>0.2989130434782601</v>
      </c>
      <c r="T39" t="n">
        <v>18.96232048652566</v>
      </c>
      <c r="U39" t="n">
        <v>0.08934900756143624</v>
      </c>
      <c r="V39" t="n">
        <v>7.738923757439457</v>
      </c>
      <c r="W39" t="n">
        <v>21.63834144505559</v>
      </c>
      <c r="X39" t="n">
        <v>19.83642960436352</v>
      </c>
    </row>
    <row r="40">
      <c r="A40" t="inlineStr">
        <is>
          <t>SWISS LIFE</t>
        </is>
      </c>
      <c r="B40" t="n">
        <v>2021</v>
      </c>
      <c r="C40" t="inlineStr">
        <is>
          <t>Business and Financial Services</t>
        </is>
      </c>
      <c r="D40" t="inlineStr">
        <is>
          <t>CHE</t>
        </is>
      </c>
      <c r="E40" t="inlineStr">
        <is>
          <t>Switzerland</t>
        </is>
      </c>
      <c r="F40" t="inlineStr">
        <is>
          <t>DEU</t>
        </is>
      </c>
      <c r="G40" t="inlineStr">
        <is>
          <t>Germany</t>
        </is>
      </c>
      <c r="H40" t="n">
        <v>3225418555.17528</v>
      </c>
      <c r="I40" t="n">
        <v>177596892.054389</v>
      </c>
      <c r="J40" t="n">
        <v>35149384.8857645</v>
      </c>
      <c r="K40" t="n">
        <v>2343</v>
      </c>
      <c r="L40" t="n">
        <v>3004347423.92008</v>
      </c>
      <c r="M40" t="n">
        <v>51799093.5158635</v>
      </c>
      <c r="N40" t="n">
        <v>2748126907.77911</v>
      </c>
      <c r="O40" t="n">
        <v>477291647.396171</v>
      </c>
      <c r="P40" t="inlineStr"/>
      <c r="Q40" t="inlineStr"/>
      <c r="R40" t="inlineStr">
        <is>
          <t>EUR</t>
        </is>
      </c>
      <c r="S40" t="n">
        <v>0.2916666666666669</v>
      </c>
      <c r="T40" t="n">
        <v>18.99502688867546</v>
      </c>
      <c r="U40" t="n">
        <v>0.08506944444444459</v>
      </c>
      <c r="V40" t="n">
        <v>7.759187438507795</v>
      </c>
      <c r="W40" t="n">
        <v>21.82332621792925</v>
      </c>
      <c r="X40" t="n">
        <v>19.98363828212925</v>
      </c>
    </row>
    <row r="41">
      <c r="A41" t="inlineStr">
        <is>
          <t>TELEFONICA</t>
        </is>
      </c>
      <c r="B41" t="n">
        <v>2019</v>
      </c>
      <c r="C41" t="inlineStr">
        <is>
          <t>Communications</t>
        </is>
      </c>
      <c r="D41" t="inlineStr">
        <is>
          <t>ESP</t>
        </is>
      </c>
      <c r="E41" t="inlineStr">
        <is>
          <t>Spain</t>
        </is>
      </c>
      <c r="F41" t="inlineStr">
        <is>
          <t>DEU</t>
        </is>
      </c>
      <c r="G41" t="inlineStr">
        <is>
          <t>Germany</t>
        </is>
      </c>
      <c r="H41" t="n">
        <v>7932000000</v>
      </c>
      <c r="I41" t="n">
        <v>281000000</v>
      </c>
      <c r="J41" t="n">
        <v>52000000</v>
      </c>
      <c r="K41" t="n">
        <v>8235</v>
      </c>
      <c r="L41" t="n">
        <v>3959000000</v>
      </c>
      <c r="M41" t="n">
        <v>81000000</v>
      </c>
      <c r="N41" t="n">
        <v>7870000000</v>
      </c>
      <c r="O41" t="n">
        <v>62000000</v>
      </c>
      <c r="P41" t="inlineStr"/>
      <c r="Q41" t="inlineStr"/>
      <c r="R41" t="inlineStr">
        <is>
          <t>EUR</t>
        </is>
      </c>
      <c r="S41" t="n">
        <v>0.2882562277580071</v>
      </c>
      <c r="T41" t="n">
        <v>19.45386522729802</v>
      </c>
      <c r="U41" t="n">
        <v>0.08309165284127608</v>
      </c>
      <c r="V41" t="n">
        <v>9.016148642611741</v>
      </c>
      <c r="W41" t="n">
        <v>22.09925730507041</v>
      </c>
      <c r="X41" t="n">
        <v>17.94264494300937</v>
      </c>
    </row>
    <row r="42">
      <c r="A42" t="inlineStr">
        <is>
          <t>TELEFONICA</t>
        </is>
      </c>
      <c r="B42" t="n">
        <v>2021</v>
      </c>
      <c r="C42" t="inlineStr">
        <is>
          <t>Communications</t>
        </is>
      </c>
      <c r="D42" t="inlineStr">
        <is>
          <t>ESP</t>
        </is>
      </c>
      <c r="E42" t="inlineStr">
        <is>
          <t>Spain</t>
        </is>
      </c>
      <c r="F42" t="inlineStr">
        <is>
          <t>DEU</t>
        </is>
      </c>
      <c r="G42" t="inlineStr">
        <is>
          <t>Germany</t>
        </is>
      </c>
      <c r="H42" t="n">
        <v>8711000000</v>
      </c>
      <c r="I42" t="n">
        <v>663000000</v>
      </c>
      <c r="J42" t="n">
        <v>54000000</v>
      </c>
      <c r="K42" t="n">
        <v>7576</v>
      </c>
      <c r="L42" t="n">
        <v>3492000000</v>
      </c>
      <c r="M42" t="n">
        <v>41000000</v>
      </c>
      <c r="N42" t="n">
        <v>8642000000</v>
      </c>
      <c r="O42" t="n">
        <v>69000000</v>
      </c>
      <c r="P42" t="inlineStr"/>
      <c r="Q42" t="inlineStr"/>
      <c r="R42" t="inlineStr">
        <is>
          <t>EUR</t>
        </is>
      </c>
      <c r="S42" t="n">
        <v>0.06184012066365008</v>
      </c>
      <c r="T42" t="n">
        <v>20.31228554815014</v>
      </c>
      <c r="U42" t="n">
        <v>0.003824200523694801</v>
      </c>
      <c r="V42" t="n">
        <v>8.932740634865914</v>
      </c>
      <c r="W42" t="n">
        <v>21.97374047492377</v>
      </c>
      <c r="X42" t="n">
        <v>18.04961706256153</v>
      </c>
    </row>
    <row r="43">
      <c r="A43" t="inlineStr">
        <is>
          <t>TOTALENERGIES</t>
        </is>
      </c>
      <c r="B43" t="n">
        <v>2019</v>
      </c>
      <c r="C43" t="inlineStr">
        <is>
          <t>Oil, Gas and Mining</t>
        </is>
      </c>
      <c r="D43" t="inlineStr">
        <is>
          <t>FRA</t>
        </is>
      </c>
      <c r="E43" t="inlineStr">
        <is>
          <t>France</t>
        </is>
      </c>
      <c r="F43" t="inlineStr">
        <is>
          <t>DEU</t>
        </is>
      </c>
      <c r="G43" t="inlineStr">
        <is>
          <t>Germany</t>
        </is>
      </c>
      <c r="H43" t="n">
        <v>33669495310.4064</v>
      </c>
      <c r="I43" t="n">
        <v>439104064.314426</v>
      </c>
      <c r="J43" t="n">
        <v>86516301.9205002</v>
      </c>
      <c r="K43" t="n">
        <v>3993</v>
      </c>
      <c r="L43" t="n">
        <v>1482617239.83921</v>
      </c>
      <c r="M43" t="n">
        <v>89255917.8204556</v>
      </c>
      <c r="N43" t="n">
        <v>16672727110.3171</v>
      </c>
      <c r="O43" t="n">
        <v>16996768200.0893</v>
      </c>
      <c r="P43" t="n">
        <v>961637338.097365</v>
      </c>
      <c r="Q43" t="n">
        <v>2765655203.21572</v>
      </c>
      <c r="R43" t="inlineStr">
        <is>
          <t>EUR</t>
        </is>
      </c>
      <c r="S43" t="n">
        <v>0.203268257058406</v>
      </c>
      <c r="T43" t="n">
        <v>19.9002469915001</v>
      </c>
      <c r="U43" t="n">
        <v>0.04131798432756222</v>
      </c>
      <c r="V43" t="n">
        <v>8.292298107063221</v>
      </c>
      <c r="W43" t="n">
        <v>21.11707476823153</v>
      </c>
      <c r="X43" t="n">
        <v>23.55628905705311</v>
      </c>
    </row>
    <row r="44">
      <c r="A44" t="inlineStr">
        <is>
          <t>TOTALENERGIES</t>
        </is>
      </c>
      <c r="B44" t="n">
        <v>2021</v>
      </c>
      <c r="C44" t="inlineStr">
        <is>
          <t>Oil, Gas and Mining</t>
        </is>
      </c>
      <c r="D44" t="inlineStr">
        <is>
          <t>FRA</t>
        </is>
      </c>
      <c r="E44" t="inlineStr">
        <is>
          <t>France</t>
        </is>
      </c>
      <c r="F44" t="inlineStr">
        <is>
          <t>DEU</t>
        </is>
      </c>
      <c r="G44" t="inlineStr">
        <is>
          <t>Germany</t>
        </is>
      </c>
      <c r="H44" t="n">
        <v>29059930667.1176</v>
      </c>
      <c r="I44" t="n">
        <v>266117358.586286</v>
      </c>
      <c r="J44" t="n">
        <v>53533440.4329078</v>
      </c>
      <c r="K44" t="n">
        <v>4663</v>
      </c>
      <c r="L44" t="n">
        <v>1641984442.37761</v>
      </c>
      <c r="M44" t="n">
        <v>66963727.0651898</v>
      </c>
      <c r="N44" t="n">
        <v>14662590682.337</v>
      </c>
      <c r="O44" t="n">
        <v>14397339984.7806</v>
      </c>
      <c r="P44" t="n">
        <v>915843409.148558</v>
      </c>
      <c r="Q44" t="n">
        <v>1768784137.98935</v>
      </c>
      <c r="R44" t="inlineStr">
        <is>
          <t>EUR</t>
        </is>
      </c>
      <c r="S44" t="n">
        <v>0.251632315234624</v>
      </c>
      <c r="T44" t="n">
        <v>19.39944796713969</v>
      </c>
      <c r="U44" t="n">
        <v>0.06331882207033721</v>
      </c>
      <c r="V44" t="n">
        <v>8.44741429680832</v>
      </c>
      <c r="W44" t="n">
        <v>21.21917137313128</v>
      </c>
      <c r="X44" t="n">
        <v>23.39030930318579</v>
      </c>
    </row>
    <row r="45">
      <c r="A45" t="inlineStr">
        <is>
          <t>VODAFONE</t>
        </is>
      </c>
      <c r="B45" t="n">
        <v>2018</v>
      </c>
      <c r="C45" t="inlineStr">
        <is>
          <t>Communications</t>
        </is>
      </c>
      <c r="D45" t="inlineStr">
        <is>
          <t>GBR</t>
        </is>
      </c>
      <c r="E45" t="inlineStr">
        <is>
          <t>United Kingdom</t>
        </is>
      </c>
      <c r="F45" t="inlineStr">
        <is>
          <t>DEU</t>
        </is>
      </c>
      <c r="G45" t="inlineStr">
        <is>
          <t>Germany</t>
        </is>
      </c>
      <c r="H45" t="n">
        <v>11577213742</v>
      </c>
      <c r="I45" t="n">
        <v>387465539</v>
      </c>
      <c r="J45" t="n">
        <v>86589439</v>
      </c>
      <c r="K45" t="n">
        <v>14946</v>
      </c>
      <c r="L45" t="n">
        <v>7744146631</v>
      </c>
      <c r="M45" t="n">
        <v>117677243</v>
      </c>
      <c r="N45" t="n">
        <v>10933178838</v>
      </c>
      <c r="O45" t="n">
        <v>644034904</v>
      </c>
      <c r="P45" t="n">
        <v>4478357622</v>
      </c>
      <c r="Q45" t="n">
        <v>-12950578874</v>
      </c>
      <c r="R45" t="inlineStr">
        <is>
          <t>EUR</t>
        </is>
      </c>
      <c r="S45" t="n">
        <v>0.3037102171814046</v>
      </c>
      <c r="T45" t="n">
        <v>19.77513747119012</v>
      </c>
      <c r="U45" t="n">
        <v>0.09223989602037597</v>
      </c>
      <c r="V45" t="n">
        <v>9.612198984490236</v>
      </c>
      <c r="W45" t="n">
        <v>22.77020312152965</v>
      </c>
      <c r="X45" t="n">
        <v>20.28326348135769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</row>
    <row r="2">
      <c r="A2" t="inlineStr">
        <is>
          <t>ADYEN</t>
        </is>
      </c>
      <c r="B2" t="n">
        <v>2021</v>
      </c>
      <c r="C2" t="inlineStr">
        <is>
          <t>Business and Financial Services</t>
        </is>
      </c>
      <c r="D2" t="inlineStr">
        <is>
          <t>NLD</t>
        </is>
      </c>
      <c r="E2" t="inlineStr">
        <is>
          <t>Netherlands</t>
        </is>
      </c>
      <c r="F2" t="inlineStr">
        <is>
          <t>DEU</t>
        </is>
      </c>
      <c r="G2" t="inlineStr">
        <is>
          <t>Germany</t>
        </is>
      </c>
      <c r="H2" t="inlineStr"/>
      <c r="I2" t="n">
        <v>3630000</v>
      </c>
      <c r="J2" t="n">
        <v>687000</v>
      </c>
      <c r="K2" t="n">
        <v>58</v>
      </c>
      <c r="L2" t="inlineStr"/>
      <c r="M2" t="n">
        <v>1343000</v>
      </c>
      <c r="N2" t="inlineStr"/>
      <c r="O2" t="inlineStr"/>
      <c r="P2" t="inlineStr"/>
      <c r="Q2" t="inlineStr"/>
      <c r="R2" t="inlineStr">
        <is>
          <t>EUR</t>
        </is>
      </c>
      <c r="S2" t="n">
        <v>0.1892561983471074</v>
      </c>
      <c r="T2" t="n">
        <v>15.10474320624103</v>
      </c>
      <c r="U2" t="n">
        <v>0.03581790861279967</v>
      </c>
    </row>
    <row r="3">
      <c r="A3" t="inlineStr">
        <is>
          <t>ALLIANZ</t>
        </is>
      </c>
      <c r="B3" t="n">
        <v>2021</v>
      </c>
      <c r="C3" t="inlineStr">
        <is>
          <t>Business and Financial Services</t>
        </is>
      </c>
      <c r="D3" t="inlineStr">
        <is>
          <t>DEU</t>
        </is>
      </c>
      <c r="E3" t="inlineStr">
        <is>
          <t>Germany</t>
        </is>
      </c>
      <c r="F3" t="inlineStr">
        <is>
          <t>DEU</t>
        </is>
      </c>
      <c r="G3" t="inlineStr">
        <is>
          <t>Germany</t>
        </is>
      </c>
      <c r="H3" t="n">
        <v>54357000000</v>
      </c>
      <c r="I3" t="n">
        <v>2128500000</v>
      </c>
      <c r="J3" t="n">
        <v>735700000</v>
      </c>
      <c r="K3" t="n">
        <v>46081</v>
      </c>
      <c r="L3" t="n">
        <v>5143300000</v>
      </c>
      <c r="M3" t="n">
        <v>513500000</v>
      </c>
      <c r="N3" t="inlineStr"/>
      <c r="O3" t="inlineStr"/>
      <c r="P3" t="inlineStr"/>
      <c r="Q3" t="inlineStr"/>
      <c r="R3" t="inlineStr">
        <is>
          <t>EUR</t>
        </is>
      </c>
      <c r="S3" t="n">
        <v>0.3456424712238666</v>
      </c>
      <c r="T3" t="n">
        <v>21.47868334323248</v>
      </c>
      <c r="U3" t="n">
        <v>0.1194687179137414</v>
      </c>
    </row>
    <row r="4">
      <c r="A4" t="inlineStr">
        <is>
          <t>ANGLO AMERICAN</t>
        </is>
      </c>
      <c r="B4" t="n">
        <v>2018</v>
      </c>
      <c r="C4" t="inlineStr">
        <is>
          <t>Oil, Gas and Mining</t>
        </is>
      </c>
      <c r="D4" t="inlineStr">
        <is>
          <t>GBR</t>
        </is>
      </c>
      <c r="E4" t="inlineStr">
        <is>
          <t>United Kingdom</t>
        </is>
      </c>
      <c r="F4" t="inlineStr">
        <is>
          <t>DEU</t>
        </is>
      </c>
      <c r="G4" t="inlineStr">
        <is>
          <t>Germany</t>
        </is>
      </c>
      <c r="H4" t="n">
        <v>73755453.00592721</v>
      </c>
      <c r="I4" t="n">
        <v>4840286.19813717</v>
      </c>
      <c r="J4" t="n">
        <v>733981.371718882</v>
      </c>
      <c r="K4" t="n">
        <v>306</v>
      </c>
      <c r="L4" t="n">
        <v>27671773.0736664</v>
      </c>
      <c r="M4" t="n">
        <v>1374700.25402202</v>
      </c>
      <c r="N4" t="n">
        <v>68198905.1651143</v>
      </c>
      <c r="O4" t="n">
        <v>5556547.84081287</v>
      </c>
      <c r="P4" t="n">
        <v>25669592.7180356</v>
      </c>
      <c r="Q4" t="n">
        <v>-16634852.6672312</v>
      </c>
      <c r="R4" t="inlineStr">
        <is>
          <t>EUR</t>
        </is>
      </c>
      <c r="S4" t="n">
        <v>0.1516400769858116</v>
      </c>
      <c r="T4" t="n">
        <v>15.39248440879112</v>
      </c>
      <c r="U4" t="n">
        <v>0.02299471294826288</v>
      </c>
    </row>
    <row r="5">
      <c r="A5" t="inlineStr">
        <is>
          <t>ANGLO AMERICAN</t>
        </is>
      </c>
      <c r="B5" t="n">
        <v>2019</v>
      </c>
      <c r="C5" t="inlineStr">
        <is>
          <t>Oil, Gas and Mining</t>
        </is>
      </c>
      <c r="D5" t="inlineStr">
        <is>
          <t>GBR</t>
        </is>
      </c>
      <c r="E5" t="inlineStr">
        <is>
          <t>United Kingdom</t>
        </is>
      </c>
      <c r="F5" t="inlineStr">
        <is>
          <t>DEU</t>
        </is>
      </c>
      <c r="G5" t="inlineStr">
        <is>
          <t>Germany</t>
        </is>
      </c>
      <c r="H5" t="n">
        <v>71554278.69584639</v>
      </c>
      <c r="I5" t="n">
        <v>4125112.9968736</v>
      </c>
      <c r="J5" t="n">
        <v>1108326.03841</v>
      </c>
      <c r="K5" t="n">
        <v>371</v>
      </c>
      <c r="L5" t="n">
        <v>29189007.5926753</v>
      </c>
      <c r="M5" t="n">
        <v>1229036.17686467</v>
      </c>
      <c r="N5" t="n">
        <v>66753826.7083519</v>
      </c>
      <c r="O5" t="n">
        <v>4800451.98749442</v>
      </c>
      <c r="P5" t="n">
        <v>27079757.9276463</v>
      </c>
      <c r="Q5" t="n">
        <v>-10359847.2532381</v>
      </c>
      <c r="R5" t="inlineStr">
        <is>
          <t>EUR</t>
        </is>
      </c>
      <c r="S5" t="n">
        <v>0.2686777402825072</v>
      </c>
      <c r="T5" t="n">
        <v>15.23260397055721</v>
      </c>
      <c r="U5" t="n">
        <v>0.07218772812331438</v>
      </c>
    </row>
    <row r="6">
      <c r="A6" t="inlineStr">
        <is>
          <t>ANGLO AMERICAN</t>
        </is>
      </c>
      <c r="B6" t="n">
        <v>2020</v>
      </c>
      <c r="C6" t="inlineStr">
        <is>
          <t>Oil, Gas and Mining</t>
        </is>
      </c>
      <c r="D6" t="inlineStr">
        <is>
          <t>GBR</t>
        </is>
      </c>
      <c r="E6" t="inlineStr">
        <is>
          <t>United Kingdom</t>
        </is>
      </c>
      <c r="F6" t="inlineStr">
        <is>
          <t>DEU</t>
        </is>
      </c>
      <c r="G6" t="inlineStr">
        <is>
          <t>Germany</t>
        </is>
      </c>
      <c r="H6" t="n">
        <v>75174390.6496235</v>
      </c>
      <c r="I6" t="n">
        <v>7972561.72299072</v>
      </c>
      <c r="J6" t="n">
        <v>1205961.30274908</v>
      </c>
      <c r="K6" t="n">
        <v>354</v>
      </c>
      <c r="L6" t="n">
        <v>32713429.3468744</v>
      </c>
      <c r="M6" t="n">
        <v>2154587.63789179</v>
      </c>
      <c r="N6" t="n">
        <v>71673191.20994569</v>
      </c>
      <c r="O6" t="n">
        <v>3501199.43967781</v>
      </c>
      <c r="P6" t="n">
        <v>26541576.7816494</v>
      </c>
      <c r="Q6" t="n">
        <v>-16689655.0516547</v>
      </c>
      <c r="R6" t="inlineStr">
        <is>
          <t>EUR</t>
        </is>
      </c>
      <c r="S6" t="n">
        <v>0.1512639656675736</v>
      </c>
      <c r="T6" t="n">
        <v>15.8915164198233</v>
      </c>
      <c r="U6" t="n">
        <v>0.0228807873094809</v>
      </c>
    </row>
    <row r="7">
      <c r="A7" t="inlineStr">
        <is>
          <t>ANGLO AMERICAN</t>
        </is>
      </c>
      <c r="B7" t="n">
        <v>2021</v>
      </c>
      <c r="C7" t="inlineStr">
        <is>
          <t>Oil, Gas and Mining</t>
        </is>
      </c>
      <c r="D7" t="inlineStr">
        <is>
          <t>GBR</t>
        </is>
      </c>
      <c r="E7" t="inlineStr">
        <is>
          <t>United Kingdom</t>
        </is>
      </c>
      <c r="F7" t="inlineStr">
        <is>
          <t>DEU</t>
        </is>
      </c>
      <c r="G7" t="inlineStr">
        <is>
          <t>Germany</t>
        </is>
      </c>
      <c r="H7" t="n">
        <v>87380003.38209181</v>
      </c>
      <c r="I7" t="n">
        <v>10910811.7020377</v>
      </c>
      <c r="J7" t="n">
        <v>2289207.74499028</v>
      </c>
      <c r="K7" t="n">
        <v>338</v>
      </c>
      <c r="L7" t="n">
        <v>33856792.0859051</v>
      </c>
      <c r="M7" t="n">
        <v>3407040.66965418</v>
      </c>
      <c r="N7" t="n">
        <v>82078949.8604887</v>
      </c>
      <c r="O7" t="n">
        <v>5301053.52160311</v>
      </c>
      <c r="P7" t="n">
        <v>25632695.5271836</v>
      </c>
      <c r="Q7" t="n">
        <v>-24054006.9332882</v>
      </c>
      <c r="R7" t="inlineStr">
        <is>
          <t>EUR</t>
        </is>
      </c>
      <c r="S7" t="n">
        <v>0.2098109478475143</v>
      </c>
      <c r="T7" t="n">
        <v>16.20526475486186</v>
      </c>
      <c r="U7" t="n">
        <v>0.04402063383667235</v>
      </c>
    </row>
    <row r="8">
      <c r="A8" t="inlineStr">
        <is>
          <t>AXA</t>
        </is>
      </c>
      <c r="B8" t="n">
        <v>2021</v>
      </c>
      <c r="C8" t="inlineStr">
        <is>
          <t>Business and Financial Services</t>
        </is>
      </c>
      <c r="D8" t="inlineStr">
        <is>
          <t>FRA</t>
        </is>
      </c>
      <c r="E8" t="inlineStr">
        <is>
          <t>France</t>
        </is>
      </c>
      <c r="F8" t="inlineStr">
        <is>
          <t>DEU</t>
        </is>
      </c>
      <c r="G8" t="inlineStr">
        <is>
          <t>Germany</t>
        </is>
      </c>
      <c r="H8" t="n">
        <v>12824479000</v>
      </c>
      <c r="I8" t="n">
        <v>1064479000</v>
      </c>
      <c r="J8" t="n">
        <v>223338000</v>
      </c>
      <c r="K8" t="n">
        <v>9421</v>
      </c>
      <c r="L8" t="n">
        <v>377229000</v>
      </c>
      <c r="M8" t="n">
        <v>238612000</v>
      </c>
      <c r="N8" t="n">
        <v>12439250000</v>
      </c>
      <c r="O8" t="n">
        <v>385229000</v>
      </c>
      <c r="P8" t="n">
        <v>494996000</v>
      </c>
      <c r="Q8" t="n">
        <v>2651074000</v>
      </c>
      <c r="R8" t="inlineStr">
        <is>
          <t>EUR</t>
        </is>
      </c>
      <c r="S8" t="n">
        <v>0.2098096815437411</v>
      </c>
      <c r="T8" t="n">
        <v>20.78575131453159</v>
      </c>
      <c r="U8" t="n">
        <v>0.04402010246948606</v>
      </c>
    </row>
    <row r="9">
      <c r="A9" t="inlineStr">
        <is>
          <t>BONAVA</t>
        </is>
      </c>
      <c r="B9" t="n">
        <v>2019</v>
      </c>
      <c r="C9" t="inlineStr">
        <is>
          <t>Construction</t>
        </is>
      </c>
      <c r="D9" t="inlineStr">
        <is>
          <t>SWE</t>
        </is>
      </c>
      <c r="E9" t="inlineStr">
        <is>
          <t>Sweden</t>
        </is>
      </c>
      <c r="F9" t="inlineStr">
        <is>
          <t>DEU</t>
        </is>
      </c>
      <c r="G9" t="inlineStr">
        <is>
          <t>Germany</t>
        </is>
      </c>
      <c r="H9" t="n">
        <v>884116686.026197</v>
      </c>
      <c r="I9" t="n">
        <v>55434361.749346</v>
      </c>
      <c r="J9" t="n">
        <v>22759252.4388286</v>
      </c>
      <c r="K9" t="inlineStr"/>
      <c r="L9" t="n">
        <v>790624321.235988</v>
      </c>
      <c r="M9" t="n">
        <v>9538109.94324352</v>
      </c>
      <c r="N9" t="n">
        <v>604489522.244572</v>
      </c>
      <c r="O9" t="n">
        <v>279627163.781624</v>
      </c>
      <c r="P9" t="inlineStr"/>
      <c r="Q9" t="inlineStr"/>
      <c r="R9" t="inlineStr">
        <is>
          <t>EUR</t>
        </is>
      </c>
      <c r="S9" t="n">
        <v>0.4105621805792164</v>
      </c>
      <c r="T9" t="n">
        <v>17.83071020762625</v>
      </c>
      <c r="U9" t="n">
        <v>0.1685613041219611</v>
      </c>
    </row>
    <row r="10">
      <c r="A10" t="inlineStr">
        <is>
          <t>BONAVA</t>
        </is>
      </c>
      <c r="B10" t="n">
        <v>2020</v>
      </c>
      <c r="C10" t="inlineStr">
        <is>
          <t>Construction</t>
        </is>
      </c>
      <c r="D10" t="inlineStr">
        <is>
          <t>SWE</t>
        </is>
      </c>
      <c r="E10" t="inlineStr">
        <is>
          <t>Sweden</t>
        </is>
      </c>
      <c r="F10" t="inlineStr">
        <is>
          <t>DEU</t>
        </is>
      </c>
      <c r="G10" t="inlineStr">
        <is>
          <t>Germany</t>
        </is>
      </c>
      <c r="H10" t="n">
        <v>1144800091.56112</v>
      </c>
      <c r="I10" t="n">
        <v>68861590.1113994</v>
      </c>
      <c r="J10" t="n">
        <v>9251487.868151991</v>
      </c>
      <c r="K10" t="inlineStr"/>
      <c r="L10" t="n">
        <v>920189226.308561</v>
      </c>
      <c r="M10" t="n">
        <v>14687929.1927362</v>
      </c>
      <c r="N10" t="n">
        <v>732488936.365024</v>
      </c>
      <c r="O10" t="n">
        <v>412311155.196093</v>
      </c>
      <c r="P10" t="inlineStr"/>
      <c r="Q10" t="inlineStr"/>
      <c r="R10" t="inlineStr">
        <is>
          <t>EUR</t>
        </is>
      </c>
      <c r="S10" t="n">
        <v>0.134349030470914</v>
      </c>
      <c r="T10" t="n">
        <v>18.04760910755401</v>
      </c>
      <c r="U10" t="n">
        <v>0.01804966198847459</v>
      </c>
    </row>
    <row r="11">
      <c r="A11" t="inlineStr">
        <is>
          <t>BUZZI UNICEM</t>
        </is>
      </c>
      <c r="B11" t="n">
        <v>2020</v>
      </c>
      <c r="C11" t="inlineStr">
        <is>
          <t>Metals and Cement</t>
        </is>
      </c>
      <c r="D11" t="inlineStr">
        <is>
          <t>ITA</t>
        </is>
      </c>
      <c r="E11" t="inlineStr">
        <is>
          <t>Italy</t>
        </is>
      </c>
      <c r="F11" t="inlineStr">
        <is>
          <t>DEU</t>
        </is>
      </c>
      <c r="G11" t="inlineStr">
        <is>
          <t>Germany</t>
        </is>
      </c>
      <c r="H11" t="n">
        <v>893598865</v>
      </c>
      <c r="I11" t="n">
        <v>282228120</v>
      </c>
      <c r="J11" t="n">
        <v>9846088</v>
      </c>
      <c r="K11" t="n">
        <v>1778</v>
      </c>
      <c r="L11" t="n">
        <v>410355777</v>
      </c>
      <c r="M11" t="n">
        <v>16550095</v>
      </c>
      <c r="N11" t="n">
        <v>752949260</v>
      </c>
      <c r="O11" t="n">
        <v>140649605</v>
      </c>
      <c r="P11" t="n">
        <v>140150012</v>
      </c>
      <c r="Q11" t="n">
        <v>143428997</v>
      </c>
      <c r="R11" t="inlineStr">
        <is>
          <t>EUR</t>
        </is>
      </c>
      <c r="S11" t="n">
        <v>0.03488698433026447</v>
      </c>
      <c r="T11" t="n">
        <v>19.45822623806008</v>
      </c>
      <c r="U11" t="n">
        <v>0.001217101675660119</v>
      </c>
    </row>
    <row r="12">
      <c r="A12" t="inlineStr">
        <is>
          <t>BUZZI UNICEM</t>
        </is>
      </c>
      <c r="B12" t="n">
        <v>2021</v>
      </c>
      <c r="C12" t="inlineStr">
        <is>
          <t>Metals and Cement</t>
        </is>
      </c>
      <c r="D12" t="inlineStr">
        <is>
          <t>ITA</t>
        </is>
      </c>
      <c r="E12" t="inlineStr">
        <is>
          <t>Italy</t>
        </is>
      </c>
      <c r="F12" t="inlineStr">
        <is>
          <t>DEU</t>
        </is>
      </c>
      <c r="G12" t="inlineStr">
        <is>
          <t>Germany</t>
        </is>
      </c>
      <c r="H12" t="n">
        <v>864577406</v>
      </c>
      <c r="I12" t="n">
        <v>212596255</v>
      </c>
      <c r="J12" t="n">
        <v>33070034</v>
      </c>
      <c r="K12" t="n">
        <v>1770</v>
      </c>
      <c r="L12" t="n">
        <v>416678258</v>
      </c>
      <c r="M12" t="n">
        <v>24887443</v>
      </c>
      <c r="N12" t="n">
        <v>747231640</v>
      </c>
      <c r="O12" t="n">
        <v>117345766</v>
      </c>
      <c r="P12" t="n">
        <v>133655862</v>
      </c>
      <c r="Q12" t="n">
        <v>143699952</v>
      </c>
      <c r="R12" t="inlineStr">
        <is>
          <t>EUR</t>
        </is>
      </c>
      <c r="S12" t="n">
        <v>0.1555532292890107</v>
      </c>
      <c r="T12" t="n">
        <v>19.17490540847708</v>
      </c>
      <c r="U12" t="n">
        <v>0.02419680714223955</v>
      </c>
    </row>
    <row r="13">
      <c r="A13" t="inlineStr">
        <is>
          <t>CEMBRE</t>
        </is>
      </c>
      <c r="B13" t="n">
        <v>2020</v>
      </c>
      <c r="C13" t="inlineStr">
        <is>
          <t>Industrial, Electric and Electronic Machinery</t>
        </is>
      </c>
      <c r="D13" t="inlineStr">
        <is>
          <t>ITA</t>
        </is>
      </c>
      <c r="E13" t="inlineStr">
        <is>
          <t>Italy</t>
        </is>
      </c>
      <c r="F13" t="inlineStr">
        <is>
          <t>DEU</t>
        </is>
      </c>
      <c r="G13" t="inlineStr">
        <is>
          <t>Germany</t>
        </is>
      </c>
      <c r="H13" t="n">
        <v>15662000</v>
      </c>
      <c r="I13" t="n">
        <v>380000</v>
      </c>
      <c r="J13" t="n">
        <v>155000</v>
      </c>
      <c r="K13" t="n">
        <v>58</v>
      </c>
      <c r="L13" t="n">
        <v>2822000</v>
      </c>
      <c r="M13" t="n">
        <v>8000</v>
      </c>
      <c r="N13" t="n">
        <v>15587000</v>
      </c>
      <c r="O13" t="n">
        <v>75000</v>
      </c>
      <c r="P13" t="inlineStr"/>
      <c r="Q13" t="inlineStr"/>
      <c r="R13" t="inlineStr">
        <is>
          <t>EUR</t>
        </is>
      </c>
      <c r="S13" t="n">
        <v>0.4078947368421053</v>
      </c>
      <c r="T13" t="n">
        <v>12.84792653170257</v>
      </c>
      <c r="U13" t="n">
        <v>0.1663781163434903</v>
      </c>
    </row>
    <row r="14">
      <c r="A14" t="inlineStr">
        <is>
          <t>CEMBRE</t>
        </is>
      </c>
      <c r="B14" t="n">
        <v>2021</v>
      </c>
      <c r="C14" t="inlineStr">
        <is>
          <t>Industrial, Electric and Electronic Machinery</t>
        </is>
      </c>
      <c r="D14" t="inlineStr">
        <is>
          <t>ITA</t>
        </is>
      </c>
      <c r="E14" t="inlineStr">
        <is>
          <t>Italy</t>
        </is>
      </c>
      <c r="F14" t="inlineStr">
        <is>
          <t>DEU</t>
        </is>
      </c>
      <c r="G14" t="inlineStr">
        <is>
          <t>Germany</t>
        </is>
      </c>
      <c r="H14" t="n">
        <v>19003000</v>
      </c>
      <c r="I14" t="n">
        <v>1554000</v>
      </c>
      <c r="J14" t="n">
        <v>82000</v>
      </c>
      <c r="K14" t="n">
        <v>56</v>
      </c>
      <c r="L14" t="n">
        <v>2736000</v>
      </c>
      <c r="M14" t="n">
        <v>208000</v>
      </c>
      <c r="N14" t="n">
        <v>18875000</v>
      </c>
      <c r="O14" t="n">
        <v>128000</v>
      </c>
      <c r="P14" t="inlineStr"/>
      <c r="Q14" t="inlineStr"/>
      <c r="R14" t="inlineStr">
        <is>
          <t>EUR</t>
        </is>
      </c>
      <c r="S14" t="n">
        <v>0.05276705276705277</v>
      </c>
      <c r="T14" t="n">
        <v>14.25634280990973</v>
      </c>
      <c r="U14" t="n">
        <v>0.002784361857720932</v>
      </c>
    </row>
    <row r="15">
      <c r="A15" t="inlineStr">
        <is>
          <t>COLOPLAST</t>
        </is>
      </c>
      <c r="B15" t="n">
        <v>2021</v>
      </c>
      <c r="C15" t="inlineStr">
        <is>
          <t>Industrial, Electric and Electronic Machinery</t>
        </is>
      </c>
      <c r="D15" t="inlineStr">
        <is>
          <t>DNK</t>
        </is>
      </c>
      <c r="E15" t="inlineStr">
        <is>
          <t>Denmark</t>
        </is>
      </c>
      <c r="F15" t="inlineStr">
        <is>
          <t>DEU</t>
        </is>
      </c>
      <c r="G15" t="inlineStr">
        <is>
          <t>Germany</t>
        </is>
      </c>
      <c r="H15" t="n">
        <v>256964098.426785</v>
      </c>
      <c r="I15" t="n">
        <v>17716283.4476267</v>
      </c>
      <c r="J15" t="n">
        <v>4344224.82183676</v>
      </c>
      <c r="K15" t="n">
        <v>639</v>
      </c>
      <c r="L15" t="inlineStr"/>
      <c r="M15" t="n">
        <v>5904128.00860562</v>
      </c>
      <c r="N15" t="inlineStr"/>
      <c r="O15" t="inlineStr"/>
      <c r="P15" t="inlineStr"/>
      <c r="Q15" t="n">
        <v>23166733.8980772</v>
      </c>
      <c r="R15" t="inlineStr">
        <is>
          <t>EUR</t>
        </is>
      </c>
      <c r="S15" t="n">
        <v>0.2452108442879265</v>
      </c>
      <c r="T15" t="n">
        <v>16.6899947434246</v>
      </c>
      <c r="U15" t="n">
        <v>0.06012835815639773</v>
      </c>
    </row>
    <row r="16">
      <c r="A16" t="inlineStr">
        <is>
          <t>CYIENT</t>
        </is>
      </c>
      <c r="B16" t="n">
        <v>2021</v>
      </c>
      <c r="C16" t="inlineStr">
        <is>
          <t>Business and Financial Services</t>
        </is>
      </c>
      <c r="D16" t="inlineStr">
        <is>
          <t>IND</t>
        </is>
      </c>
      <c r="E16" t="inlineStr">
        <is>
          <t>India</t>
        </is>
      </c>
      <c r="F16" t="inlineStr">
        <is>
          <t>DEU</t>
        </is>
      </c>
      <c r="G16" t="inlineStr">
        <is>
          <t>Germany</t>
        </is>
      </c>
      <c r="H16" t="n">
        <v>16125490.6266297</v>
      </c>
      <c r="I16" t="n">
        <v>686191.090494881</v>
      </c>
      <c r="J16" t="n">
        <v>205857.327148464</v>
      </c>
      <c r="K16" t="n">
        <v>57</v>
      </c>
      <c r="L16" t="n">
        <v>2538907.03483106</v>
      </c>
      <c r="M16" t="n">
        <v>228730.363498294</v>
      </c>
      <c r="N16" t="n">
        <v>11356462.5476903</v>
      </c>
      <c r="O16" t="n">
        <v>4769028.07893942</v>
      </c>
      <c r="P16" t="n">
        <v>583262.426920649</v>
      </c>
      <c r="Q16" t="n">
        <v>17028975.562448</v>
      </c>
      <c r="R16" t="inlineStr">
        <is>
          <t>EUR</t>
        </is>
      </c>
      <c r="S16" t="n">
        <v>0.2999999999999995</v>
      </c>
      <c r="T16" t="n">
        <v>13.43891142549078</v>
      </c>
      <c r="U16" t="n">
        <v>0.08999999999999973</v>
      </c>
    </row>
    <row r="17">
      <c r="A17" t="inlineStr">
        <is>
          <t>DIASORIN</t>
        </is>
      </c>
      <c r="B17" t="n">
        <v>2021</v>
      </c>
      <c r="C17" t="inlineStr">
        <is>
          <t>Biomedical</t>
        </is>
      </c>
      <c r="D17" t="inlineStr">
        <is>
          <t>ITA</t>
        </is>
      </c>
      <c r="E17" t="inlineStr">
        <is>
          <t>Italy</t>
        </is>
      </c>
      <c r="F17" t="inlineStr">
        <is>
          <t>DEU</t>
        </is>
      </c>
      <c r="G17" t="inlineStr">
        <is>
          <t>Germany</t>
        </is>
      </c>
      <c r="H17" t="n">
        <v>85246000</v>
      </c>
      <c r="I17" t="n">
        <v>4402000</v>
      </c>
      <c r="J17" t="n">
        <v>949000</v>
      </c>
      <c r="K17" t="n">
        <v>187</v>
      </c>
      <c r="L17" t="n">
        <v>18152000</v>
      </c>
      <c r="M17" t="n">
        <v>1296000</v>
      </c>
      <c r="N17" t="n">
        <v>62725000</v>
      </c>
      <c r="O17" t="n">
        <v>22521000</v>
      </c>
      <c r="P17" t="inlineStr"/>
      <c r="Q17" t="inlineStr"/>
      <c r="R17" t="inlineStr">
        <is>
          <t>EUR</t>
        </is>
      </c>
      <c r="S17" t="n">
        <v>0.2155838255338483</v>
      </c>
      <c r="T17" t="n">
        <v>15.29756954106854</v>
      </c>
      <c r="U17" t="n">
        <v>0.04647638583180872</v>
      </c>
    </row>
    <row r="18">
      <c r="A18" t="inlineStr">
        <is>
          <t>EISAI</t>
        </is>
      </c>
      <c r="B18" t="n">
        <v>2019</v>
      </c>
      <c r="C18" t="inlineStr">
        <is>
          <t>Biomedical</t>
        </is>
      </c>
      <c r="D18" t="inlineStr">
        <is>
          <t>JPN</t>
        </is>
      </c>
      <c r="E18" t="inlineStr">
        <is>
          <t>Japan</t>
        </is>
      </c>
      <c r="F18" t="inlineStr">
        <is>
          <t>DEU</t>
        </is>
      </c>
      <c r="G18" t="inlineStr">
        <is>
          <t>Germany</t>
        </is>
      </c>
      <c r="H18" t="n">
        <v>66822391.6072453</v>
      </c>
      <c r="I18" t="n">
        <v>6753544.79141054</v>
      </c>
      <c r="J18" t="n">
        <v>1335956.06917466</v>
      </c>
      <c r="K18" t="n">
        <v>117</v>
      </c>
      <c r="L18" t="inlineStr"/>
      <c r="M18" t="n">
        <v>1999836.07900992</v>
      </c>
      <c r="N18" t="inlineStr"/>
      <c r="O18" t="inlineStr"/>
      <c r="P18" t="inlineStr"/>
      <c r="Q18" t="inlineStr"/>
      <c r="R18" t="inlineStr">
        <is>
          <t>EUR</t>
        </is>
      </c>
      <c r="S18" t="n">
        <v>0.1978155339805828</v>
      </c>
      <c r="T18" t="n">
        <v>15.7255780792865</v>
      </c>
      <c r="U18" t="n">
        <v>0.03913098548402312</v>
      </c>
    </row>
    <row r="19">
      <c r="A19" t="inlineStr">
        <is>
          <t>EISAI</t>
        </is>
      </c>
      <c r="B19" t="n">
        <v>2020</v>
      </c>
      <c r="C19" t="inlineStr">
        <is>
          <t>Biomedical</t>
        </is>
      </c>
      <c r="D19" t="inlineStr">
        <is>
          <t>JPN</t>
        </is>
      </c>
      <c r="E19" t="inlineStr">
        <is>
          <t>Japan</t>
        </is>
      </c>
      <c r="F19" t="inlineStr">
        <is>
          <t>DEU</t>
        </is>
      </c>
      <c r="G19" t="inlineStr">
        <is>
          <t>Germany</t>
        </is>
      </c>
      <c r="H19" t="n">
        <v>67345096.4300369</v>
      </c>
      <c r="I19" t="n">
        <v>6622897.00451375</v>
      </c>
      <c r="J19" t="n">
        <v>2232252.76979893</v>
      </c>
      <c r="K19" t="n">
        <v>117</v>
      </c>
      <c r="L19" t="inlineStr"/>
      <c r="M19" t="n">
        <v>2322527.69798933</v>
      </c>
      <c r="N19" t="inlineStr"/>
      <c r="O19" t="inlineStr"/>
      <c r="P19" t="inlineStr"/>
      <c r="Q19" t="inlineStr"/>
      <c r="R19" t="inlineStr">
        <is>
          <t>EUR</t>
        </is>
      </c>
      <c r="S19" t="n">
        <v>0.3370508054522918</v>
      </c>
      <c r="T19" t="n">
        <v>15.70604344616301</v>
      </c>
      <c r="U19" t="n">
        <v>0.1136032454560386</v>
      </c>
    </row>
    <row r="20">
      <c r="A20" t="inlineStr">
        <is>
          <t>ENEL</t>
        </is>
      </c>
      <c r="B20" t="n">
        <v>2020</v>
      </c>
      <c r="C20" t="inlineStr">
        <is>
          <t>Utilities</t>
        </is>
      </c>
      <c r="D20" t="inlineStr">
        <is>
          <t>ITA</t>
        </is>
      </c>
      <c r="E20" t="inlineStr">
        <is>
          <t>Italy</t>
        </is>
      </c>
      <c r="F20" t="inlineStr">
        <is>
          <t>DEU</t>
        </is>
      </c>
      <c r="G20" t="inlineStr">
        <is>
          <t>Germany</t>
        </is>
      </c>
      <c r="H20" t="n">
        <v>260300000</v>
      </c>
      <c r="I20" t="n">
        <v>19900000</v>
      </c>
      <c r="J20" t="n">
        <v>300000</v>
      </c>
      <c r="K20" t="n">
        <v>23</v>
      </c>
      <c r="L20" t="n">
        <v>700000</v>
      </c>
      <c r="M20" t="n">
        <v>900000</v>
      </c>
      <c r="N20" t="n">
        <v>223200000</v>
      </c>
      <c r="O20" t="n">
        <v>37100000</v>
      </c>
      <c r="P20" t="inlineStr"/>
      <c r="Q20" t="inlineStr"/>
      <c r="R20" t="inlineStr">
        <is>
          <t>EUR</t>
        </is>
      </c>
      <c r="S20" t="n">
        <v>0.01507537688442211</v>
      </c>
      <c r="T20" t="n">
        <v>16.80623028969472</v>
      </c>
      <c r="U20" t="n">
        <v>0.0002272669882073685</v>
      </c>
    </row>
    <row r="21">
      <c r="A21" t="inlineStr">
        <is>
          <t>ENI</t>
        </is>
      </c>
      <c r="B21" t="n">
        <v>2017</v>
      </c>
      <c r="C21" t="inlineStr">
        <is>
          <t>Oil, Gas and Mining</t>
        </is>
      </c>
      <c r="D21" t="inlineStr">
        <is>
          <t>ITA</t>
        </is>
      </c>
      <c r="E21" t="inlineStr">
        <is>
          <t>Italy</t>
        </is>
      </c>
      <c r="F21" t="inlineStr">
        <is>
          <t>DEU</t>
        </is>
      </c>
      <c r="G21" t="inlineStr">
        <is>
          <t>Germany</t>
        </is>
      </c>
      <c r="H21" t="n">
        <v>4581842000</v>
      </c>
      <c r="I21" t="n">
        <v>109645000</v>
      </c>
      <c r="J21" t="n">
        <v>31557000</v>
      </c>
      <c r="K21" t="n">
        <v>552</v>
      </c>
      <c r="L21" t="n">
        <v>363912000</v>
      </c>
      <c r="M21" t="n">
        <v>34410000</v>
      </c>
      <c r="N21" t="n">
        <v>4121390000</v>
      </c>
      <c r="O21" t="n">
        <v>460452000</v>
      </c>
      <c r="P21" t="n">
        <v>94145000</v>
      </c>
      <c r="Q21" t="n">
        <v>74923000</v>
      </c>
      <c r="R21" t="inlineStr">
        <is>
          <t>EUR</t>
        </is>
      </c>
      <c r="S21" t="n">
        <v>0.2878106616808792</v>
      </c>
      <c r="T21" t="n">
        <v>18.51275843215327</v>
      </c>
      <c r="U21" t="n">
        <v>0.08283497697718552</v>
      </c>
    </row>
    <row r="22">
      <c r="A22" t="inlineStr">
        <is>
          <t>ENI</t>
        </is>
      </c>
      <c r="B22" t="n">
        <v>2018</v>
      </c>
      <c r="C22" t="inlineStr">
        <is>
          <t>Oil, Gas and Mining</t>
        </is>
      </c>
      <c r="D22" t="inlineStr">
        <is>
          <t>ITA</t>
        </is>
      </c>
      <c r="E22" t="inlineStr">
        <is>
          <t>Italy</t>
        </is>
      </c>
      <c r="F22" t="inlineStr">
        <is>
          <t>DEU</t>
        </is>
      </c>
      <c r="G22" t="inlineStr">
        <is>
          <t>Germany</t>
        </is>
      </c>
      <c r="H22" t="n">
        <v>2716743000</v>
      </c>
      <c r="I22" t="n">
        <v>119618000</v>
      </c>
      <c r="J22" t="n">
        <v>48300000</v>
      </c>
      <c r="K22" t="n">
        <v>537</v>
      </c>
      <c r="L22" t="n">
        <v>375949000</v>
      </c>
      <c r="M22" t="n">
        <v>40798000</v>
      </c>
      <c r="N22" t="n">
        <v>2445724000</v>
      </c>
      <c r="O22" t="n">
        <v>271019000</v>
      </c>
      <c r="P22" t="n">
        <v>94145000</v>
      </c>
      <c r="Q22" t="n">
        <v>78231000</v>
      </c>
      <c r="R22" t="inlineStr">
        <is>
          <t>EUR</t>
        </is>
      </c>
      <c r="S22" t="n">
        <v>0.4037853834707151</v>
      </c>
      <c r="T22" t="n">
        <v>18.59981388982881</v>
      </c>
      <c r="U22" t="n">
        <v>0.1630426359045925</v>
      </c>
    </row>
    <row r="23">
      <c r="A23" t="inlineStr">
        <is>
          <t>ENI</t>
        </is>
      </c>
      <c r="B23" t="n">
        <v>2021</v>
      </c>
      <c r="C23" t="inlineStr">
        <is>
          <t>Oil, Gas and Mining</t>
        </is>
      </c>
      <c r="D23" t="inlineStr">
        <is>
          <t>ITA</t>
        </is>
      </c>
      <c r="E23" t="inlineStr">
        <is>
          <t>Italy</t>
        </is>
      </c>
      <c r="F23" t="inlineStr">
        <is>
          <t>DEU</t>
        </is>
      </c>
      <c r="G23" t="inlineStr">
        <is>
          <t>Germany</t>
        </is>
      </c>
      <c r="H23" t="n">
        <v>2337294000</v>
      </c>
      <c r="I23" t="n">
        <v>124526000</v>
      </c>
      <c r="J23" t="n">
        <v>47126000</v>
      </c>
      <c r="K23" t="n">
        <v>517</v>
      </c>
      <c r="L23" t="n">
        <v>468892000</v>
      </c>
      <c r="M23" t="n">
        <v>36436000</v>
      </c>
      <c r="N23" t="n">
        <v>475124000</v>
      </c>
      <c r="O23" t="n">
        <v>1862170000</v>
      </c>
      <c r="P23" t="n">
        <v>241223000</v>
      </c>
      <c r="Q23" t="n">
        <v>-63612000</v>
      </c>
      <c r="R23" t="inlineStr">
        <is>
          <t>EUR</t>
        </is>
      </c>
      <c r="S23" t="n">
        <v>0.3784430560686122</v>
      </c>
      <c r="T23" t="n">
        <v>18.64002508740734</v>
      </c>
      <c r="U23" t="n">
        <v>0.1432191466865507</v>
      </c>
    </row>
    <row r="24">
      <c r="A24" t="inlineStr">
        <is>
          <t>ESPRINET</t>
        </is>
      </c>
      <c r="B24" t="n">
        <v>2021</v>
      </c>
      <c r="C24" t="inlineStr">
        <is>
          <t>Business and Financial Services</t>
        </is>
      </c>
      <c r="D24" t="inlineStr">
        <is>
          <t>ITA</t>
        </is>
      </c>
      <c r="E24" t="inlineStr">
        <is>
          <t>Italy</t>
        </is>
      </c>
      <c r="F24" t="inlineStr">
        <is>
          <t>DEU</t>
        </is>
      </c>
      <c r="G24" t="inlineStr">
        <is>
          <t>Germany</t>
        </is>
      </c>
      <c r="H24" t="n">
        <v>286825</v>
      </c>
      <c r="I24" t="n">
        <v>12089</v>
      </c>
      <c r="J24" t="n">
        <v>0</v>
      </c>
      <c r="K24" t="n">
        <v>2</v>
      </c>
      <c r="L24" t="n">
        <v>2</v>
      </c>
      <c r="M24" t="n">
        <v>-750</v>
      </c>
      <c r="N24" t="inlineStr"/>
      <c r="O24" t="n">
        <v>305346</v>
      </c>
      <c r="P24" t="n">
        <v>-741932</v>
      </c>
      <c r="Q24" t="n">
        <v>56693</v>
      </c>
      <c r="R24" t="inlineStr">
        <is>
          <t>EUR</t>
        </is>
      </c>
      <c r="S24" t="n">
        <v>0</v>
      </c>
      <c r="T24" t="n">
        <v>9.400051227201992</v>
      </c>
      <c r="U24" t="n">
        <v>0</v>
      </c>
    </row>
    <row r="25">
      <c r="A25" t="inlineStr">
        <is>
          <t>FEDRIGONI</t>
        </is>
      </c>
      <c r="B25" t="n">
        <v>2021</v>
      </c>
      <c r="C25" t="inlineStr">
        <is>
          <t>Unclassified Manufacturing</t>
        </is>
      </c>
      <c r="D25" t="inlineStr">
        <is>
          <t>ITA</t>
        </is>
      </c>
      <c r="E25" t="inlineStr">
        <is>
          <t>Italy</t>
        </is>
      </c>
      <c r="F25" t="inlineStr">
        <is>
          <t>DEU</t>
        </is>
      </c>
      <c r="G25" t="inlineStr">
        <is>
          <t>Germany</t>
        </is>
      </c>
      <c r="H25" t="n">
        <v>33411000</v>
      </c>
      <c r="I25" t="n">
        <v>378000</v>
      </c>
      <c r="J25" t="n">
        <v>82000</v>
      </c>
      <c r="K25" t="n">
        <v>51</v>
      </c>
      <c r="L25" t="n">
        <v>9072000</v>
      </c>
      <c r="M25" t="n">
        <v>255000</v>
      </c>
      <c r="N25" t="n">
        <v>31980000</v>
      </c>
      <c r="O25" t="n">
        <v>1431000</v>
      </c>
      <c r="P25" t="inlineStr"/>
      <c r="Q25" t="inlineStr"/>
      <c r="R25" t="inlineStr">
        <is>
          <t>EUR</t>
        </is>
      </c>
      <c r="S25" t="n">
        <v>0.2169312169312169</v>
      </c>
      <c r="T25" t="n">
        <v>12.84264947460172</v>
      </c>
      <c r="U25" t="n">
        <v>0.04705915287925869</v>
      </c>
    </row>
    <row r="26">
      <c r="A26" t="inlineStr">
        <is>
          <t>FERALPI</t>
        </is>
      </c>
      <c r="B26" t="n">
        <v>2020</v>
      </c>
      <c r="C26" t="inlineStr">
        <is>
          <t>Metals and Cement</t>
        </is>
      </c>
      <c r="D26" t="inlineStr">
        <is>
          <t>ITA</t>
        </is>
      </c>
      <c r="E26" t="inlineStr">
        <is>
          <t>Italy</t>
        </is>
      </c>
      <c r="F26" t="inlineStr">
        <is>
          <t>DEU</t>
        </is>
      </c>
      <c r="G26" t="inlineStr">
        <is>
          <t>Germany</t>
        </is>
      </c>
      <c r="H26" t="inlineStr"/>
      <c r="I26" t="n">
        <v>35700000</v>
      </c>
      <c r="J26" t="n">
        <v>10900000</v>
      </c>
      <c r="K26" t="n">
        <v>770</v>
      </c>
      <c r="L26" t="n">
        <v>253500000</v>
      </c>
      <c r="M26" t="n">
        <v>10900000</v>
      </c>
      <c r="N26" t="n">
        <v>471000000</v>
      </c>
      <c r="O26" t="inlineStr"/>
      <c r="P26" t="inlineStr"/>
      <c r="Q26" t="inlineStr"/>
      <c r="R26" t="inlineStr">
        <is>
          <t>EUR</t>
        </is>
      </c>
      <c r="S26" t="n">
        <v>0.3053221288515406</v>
      </c>
      <c r="T26" t="n">
        <v>17.39066124674987</v>
      </c>
      <c r="U26" t="n">
        <v>0.09322160236643678</v>
      </c>
    </row>
    <row r="27">
      <c r="A27" t="inlineStr">
        <is>
          <t>FERALPI</t>
        </is>
      </c>
      <c r="B27" t="n">
        <v>2021</v>
      </c>
      <c r="C27" t="inlineStr">
        <is>
          <t>Metals and Cement</t>
        </is>
      </c>
      <c r="D27" t="inlineStr">
        <is>
          <t>ITA</t>
        </is>
      </c>
      <c r="E27" t="inlineStr">
        <is>
          <t>Italy</t>
        </is>
      </c>
      <c r="F27" t="inlineStr">
        <is>
          <t>DEU</t>
        </is>
      </c>
      <c r="G27" t="inlineStr">
        <is>
          <t>Germany</t>
        </is>
      </c>
      <c r="H27" t="n">
        <v>635500000</v>
      </c>
      <c r="I27" t="n">
        <v>96500000</v>
      </c>
      <c r="J27" t="n">
        <v>8800000</v>
      </c>
      <c r="K27" t="n">
        <v>795</v>
      </c>
      <c r="L27" t="n">
        <v>352400000</v>
      </c>
      <c r="M27" t="n">
        <v>28500000</v>
      </c>
      <c r="N27" t="n">
        <v>599300000</v>
      </c>
      <c r="O27" t="n">
        <v>36200000</v>
      </c>
      <c r="P27" t="inlineStr"/>
      <c r="Q27" t="inlineStr"/>
      <c r="R27" t="inlineStr">
        <is>
          <t>EUR</t>
        </is>
      </c>
      <c r="S27" t="n">
        <v>0.09119170984455958</v>
      </c>
      <c r="T27" t="n">
        <v>18.38505356630921</v>
      </c>
      <c r="U27" t="n">
        <v>0.008315927944374345</v>
      </c>
    </row>
    <row r="28">
      <c r="A28" t="inlineStr">
        <is>
          <t>FERROVIAL</t>
        </is>
      </c>
      <c r="B28" t="n">
        <v>2019</v>
      </c>
      <c r="C28" t="inlineStr">
        <is>
          <t>Transport, Freight &amp; Storage</t>
        </is>
      </c>
      <c r="D28" t="inlineStr">
        <is>
          <t>ESP</t>
        </is>
      </c>
      <c r="E28" t="inlineStr">
        <is>
          <t>Spain</t>
        </is>
      </c>
      <c r="F28" t="inlineStr">
        <is>
          <t>DEU</t>
        </is>
      </c>
      <c r="G28" t="inlineStr">
        <is>
          <t>Germany</t>
        </is>
      </c>
      <c r="H28" t="n">
        <v>48500000</v>
      </c>
      <c r="I28" t="n">
        <v>5210000</v>
      </c>
      <c r="J28" t="n">
        <v>1240000</v>
      </c>
      <c r="K28" t="n">
        <v>1030</v>
      </c>
      <c r="L28" t="n">
        <v>90000</v>
      </c>
      <c r="M28" t="n">
        <v>1210000</v>
      </c>
      <c r="N28" t="n">
        <v>48500000</v>
      </c>
      <c r="O28" t="n">
        <v>0</v>
      </c>
      <c r="P28" t="inlineStr"/>
      <c r="Q28" t="inlineStr"/>
      <c r="R28" t="inlineStr">
        <is>
          <t>EUR</t>
        </is>
      </c>
      <c r="S28" t="n">
        <v>0.2380038387715931</v>
      </c>
      <c r="T28" t="n">
        <v>15.46609041372955</v>
      </c>
      <c r="U28" t="n">
        <v>0.05664582727001448</v>
      </c>
    </row>
    <row r="29">
      <c r="A29" t="inlineStr">
        <is>
          <t>FERROVIAL</t>
        </is>
      </c>
      <c r="B29" t="n">
        <v>2020</v>
      </c>
      <c r="C29" t="inlineStr">
        <is>
          <t>Transport, Freight &amp; Storage</t>
        </is>
      </c>
      <c r="D29" t="inlineStr">
        <is>
          <t>ESP</t>
        </is>
      </c>
      <c r="E29" t="inlineStr">
        <is>
          <t>Spain</t>
        </is>
      </c>
      <c r="F29" t="inlineStr">
        <is>
          <t>DEU</t>
        </is>
      </c>
      <c r="G29" t="inlineStr">
        <is>
          <t>Germany</t>
        </is>
      </c>
      <c r="H29" t="n">
        <v>46310000</v>
      </c>
      <c r="I29" t="n">
        <v>5420000</v>
      </c>
      <c r="J29" t="n">
        <v>930000</v>
      </c>
      <c r="K29" t="n">
        <v>872</v>
      </c>
      <c r="L29" t="n">
        <v>70000</v>
      </c>
      <c r="M29" t="n">
        <v>990000</v>
      </c>
      <c r="N29" t="n">
        <v>46310000</v>
      </c>
      <c r="O29" t="n">
        <v>0</v>
      </c>
      <c r="P29" t="inlineStr"/>
      <c r="Q29" t="inlineStr"/>
      <c r="R29" t="inlineStr">
        <is>
          <t>EUR</t>
        </is>
      </c>
      <c r="S29" t="n">
        <v>0.1715867158671587</v>
      </c>
      <c r="T29" t="n">
        <v>15.50560637341583</v>
      </c>
      <c r="U29" t="n">
        <v>0.02944200106207704</v>
      </c>
    </row>
    <row r="30">
      <c r="A30" t="inlineStr">
        <is>
          <t>FERROVIAL</t>
        </is>
      </c>
      <c r="B30" t="n">
        <v>2021</v>
      </c>
      <c r="C30" t="inlineStr">
        <is>
          <t>Transport, Freight &amp; Storage</t>
        </is>
      </c>
      <c r="D30" t="inlineStr">
        <is>
          <t>ESP</t>
        </is>
      </c>
      <c r="E30" t="inlineStr">
        <is>
          <t>Spain</t>
        </is>
      </c>
      <c r="F30" t="inlineStr">
        <is>
          <t>DEU</t>
        </is>
      </c>
      <c r="G30" t="inlineStr">
        <is>
          <t>Germany</t>
        </is>
      </c>
      <c r="H30" t="n">
        <v>47410000</v>
      </c>
      <c r="I30" t="n">
        <v>6380000</v>
      </c>
      <c r="J30" t="n">
        <v>950000</v>
      </c>
      <c r="K30" t="n">
        <v>917</v>
      </c>
      <c r="L30" t="n">
        <v>50000</v>
      </c>
      <c r="M30" t="n">
        <v>990000</v>
      </c>
      <c r="N30" t="n">
        <v>47410000</v>
      </c>
      <c r="O30" t="n">
        <v>0</v>
      </c>
      <c r="P30" t="inlineStr"/>
      <c r="Q30" t="inlineStr"/>
      <c r="R30" t="inlineStr">
        <is>
          <t>EUR</t>
        </is>
      </c>
      <c r="S30" t="n">
        <v>0.1489028213166144</v>
      </c>
      <c r="T30" t="n">
        <v>15.66867865532097</v>
      </c>
      <c r="U30" t="n">
        <v>0.0221720501960476</v>
      </c>
    </row>
    <row r="31">
      <c r="A31" t="inlineStr">
        <is>
          <t>GENERALI</t>
        </is>
      </c>
      <c r="B31" t="n">
        <v>2021</v>
      </c>
      <c r="C31" t="inlineStr">
        <is>
          <t>Business and Financial Services</t>
        </is>
      </c>
      <c r="D31" t="inlineStr">
        <is>
          <t>ITA</t>
        </is>
      </c>
      <c r="E31" t="inlineStr">
        <is>
          <t>Italy</t>
        </is>
      </c>
      <c r="F31" t="inlineStr">
        <is>
          <t>DEU</t>
        </is>
      </c>
      <c r="G31" t="inlineStr">
        <is>
          <t>Germany</t>
        </is>
      </c>
      <c r="H31" t="n">
        <v>23748000000</v>
      </c>
      <c r="I31" t="n">
        <v>735000000</v>
      </c>
      <c r="J31" t="n">
        <v>143000000</v>
      </c>
      <c r="K31" t="n">
        <v>9578</v>
      </c>
      <c r="L31" t="inlineStr"/>
      <c r="M31" t="n">
        <v>192000000</v>
      </c>
      <c r="N31" t="inlineStr"/>
      <c r="O31" t="inlineStr"/>
      <c r="P31" t="inlineStr"/>
      <c r="Q31" t="inlineStr"/>
      <c r="R31" t="inlineStr">
        <is>
          <t>EUR</t>
        </is>
      </c>
      <c r="S31" t="n">
        <v>0.1945578231292517</v>
      </c>
      <c r="T31" t="n">
        <v>20.41538105717711</v>
      </c>
      <c r="U31" t="n">
        <v>0.03785274654079319</v>
      </c>
    </row>
    <row r="32">
      <c r="A32" t="inlineStr">
        <is>
          <t>IBERDROLA</t>
        </is>
      </c>
      <c r="B32" t="n">
        <v>2019</v>
      </c>
      <c r="C32" t="inlineStr">
        <is>
          <t>Utilities</t>
        </is>
      </c>
      <c r="D32" t="inlineStr">
        <is>
          <t>ESP</t>
        </is>
      </c>
      <c r="E32" t="inlineStr">
        <is>
          <t>Spain</t>
        </is>
      </c>
      <c r="F32" t="inlineStr">
        <is>
          <t>DEU</t>
        </is>
      </c>
      <c r="G32" t="inlineStr">
        <is>
          <t>Germany</t>
        </is>
      </c>
      <c r="H32" t="n">
        <v>296576549</v>
      </c>
      <c r="I32" t="n">
        <v>140455366</v>
      </c>
      <c r="J32" t="n">
        <v>845</v>
      </c>
      <c r="K32" t="n">
        <v>59</v>
      </c>
      <c r="L32" t="n">
        <v>1509253548</v>
      </c>
      <c r="M32" t="n">
        <v>32216277</v>
      </c>
      <c r="N32" t="n">
        <v>253472539</v>
      </c>
      <c r="O32" t="n">
        <v>43104010</v>
      </c>
      <c r="P32" t="inlineStr"/>
      <c r="Q32" t="n">
        <v>529207059</v>
      </c>
      <c r="R32" t="inlineStr">
        <is>
          <t>EUR</t>
        </is>
      </c>
      <c r="S32" t="n">
        <v>6.016146083019712e-06</v>
      </c>
      <c r="T32" t="n">
        <v>18.76040031655188</v>
      </c>
      <c r="U32" t="n">
        <v>3.619401369223342e-11</v>
      </c>
    </row>
    <row r="33">
      <c r="A33" t="inlineStr">
        <is>
          <t>IBERDROLA</t>
        </is>
      </c>
      <c r="B33" t="n">
        <v>2020</v>
      </c>
      <c r="C33" t="inlineStr">
        <is>
          <t>Utilities</t>
        </is>
      </c>
      <c r="D33" t="inlineStr">
        <is>
          <t>ESP</t>
        </is>
      </c>
      <c r="E33" t="inlineStr">
        <is>
          <t>Spain</t>
        </is>
      </c>
      <c r="F33" t="inlineStr">
        <is>
          <t>DEU</t>
        </is>
      </c>
      <c r="G33" t="inlineStr">
        <is>
          <t>Germany</t>
        </is>
      </c>
      <c r="H33" t="n">
        <v>391000000</v>
      </c>
      <c r="I33" t="n">
        <v>144000000</v>
      </c>
      <c r="J33" t="n">
        <v>68000000</v>
      </c>
      <c r="K33" t="n">
        <v>85</v>
      </c>
      <c r="L33" t="n">
        <v>1503000000</v>
      </c>
      <c r="M33" t="n">
        <v>39000000</v>
      </c>
      <c r="N33" t="n">
        <v>364000000</v>
      </c>
      <c r="O33" t="n">
        <v>27000000</v>
      </c>
      <c r="P33" t="inlineStr"/>
      <c r="Q33" t="inlineStr"/>
      <c r="R33" t="inlineStr">
        <is>
          <t>EUR</t>
        </is>
      </c>
      <c r="S33" t="n">
        <v>0.4722222222222222</v>
      </c>
      <c r="T33" t="n">
        <v>18.78532385754027</v>
      </c>
      <c r="U33" t="n">
        <v>0.2229938271604938</v>
      </c>
    </row>
    <row r="34">
      <c r="A34" t="inlineStr">
        <is>
          <t>IBERDROLA</t>
        </is>
      </c>
      <c r="B34" t="n">
        <v>2021</v>
      </c>
      <c r="C34" t="inlineStr">
        <is>
          <t>Utilities</t>
        </is>
      </c>
      <c r="D34" t="inlineStr">
        <is>
          <t>ESP</t>
        </is>
      </c>
      <c r="E34" t="inlineStr">
        <is>
          <t>Spain</t>
        </is>
      </c>
      <c r="F34" t="inlineStr">
        <is>
          <t>DEU</t>
        </is>
      </c>
      <c r="G34" t="inlineStr">
        <is>
          <t>Germany</t>
        </is>
      </c>
      <c r="H34" t="n">
        <v>438000000</v>
      </c>
      <c r="I34" t="n">
        <v>128000000</v>
      </c>
      <c r="J34" t="n">
        <v>49000000</v>
      </c>
      <c r="K34" t="n">
        <v>97</v>
      </c>
      <c r="L34" t="n">
        <v>1571000000</v>
      </c>
      <c r="M34" t="n">
        <v>33000000</v>
      </c>
      <c r="N34" t="n">
        <v>292000000</v>
      </c>
      <c r="O34" t="n">
        <v>146000000</v>
      </c>
      <c r="P34" t="inlineStr"/>
      <c r="Q34" t="inlineStr"/>
      <c r="R34" t="inlineStr">
        <is>
          <t>EUR</t>
        </is>
      </c>
      <c r="S34" t="n">
        <v>0.3828125</v>
      </c>
      <c r="T34" t="n">
        <v>18.66754082188389</v>
      </c>
      <c r="U34" t="n">
        <v>0.14654541015625</v>
      </c>
    </row>
    <row r="35">
      <c r="A35" t="inlineStr">
        <is>
          <t>INDRA</t>
        </is>
      </c>
      <c r="B35" t="n">
        <v>2020</v>
      </c>
      <c r="C35" t="inlineStr">
        <is>
          <t>Business and Financial Services</t>
        </is>
      </c>
      <c r="D35" t="inlineStr">
        <is>
          <t>ESP</t>
        </is>
      </c>
      <c r="E35" t="inlineStr">
        <is>
          <t>Spain</t>
        </is>
      </c>
      <c r="F35" t="inlineStr">
        <is>
          <t>DEU</t>
        </is>
      </c>
      <c r="G35" t="inlineStr">
        <is>
          <t>Germany</t>
        </is>
      </c>
      <c r="H35" t="n">
        <v>20994000</v>
      </c>
      <c r="I35" t="n">
        <v>1157000</v>
      </c>
      <c r="J35" t="n">
        <v>135000</v>
      </c>
      <c r="K35" t="inlineStr"/>
      <c r="L35" t="inlineStr"/>
      <c r="M35" t="n">
        <v>321000</v>
      </c>
      <c r="N35" t="inlineStr"/>
      <c r="O35" t="n">
        <v>1680000</v>
      </c>
      <c r="P35" t="inlineStr"/>
      <c r="Q35" t="inlineStr"/>
      <c r="R35" t="inlineStr">
        <is>
          <t>EUR</t>
        </is>
      </c>
      <c r="S35" t="n">
        <v>0.1166810717372515</v>
      </c>
      <c r="T35" t="n">
        <v>13.96134100617581</v>
      </c>
      <c r="U35" t="n">
        <v>0.01361447250175363</v>
      </c>
    </row>
    <row r="36">
      <c r="A36" t="inlineStr">
        <is>
          <t>INDRA</t>
        </is>
      </c>
      <c r="B36" t="n">
        <v>2021</v>
      </c>
      <c r="C36" t="inlineStr">
        <is>
          <t>Business and Financial Services</t>
        </is>
      </c>
      <c r="D36" t="inlineStr">
        <is>
          <t>ESP</t>
        </is>
      </c>
      <c r="E36" t="inlineStr">
        <is>
          <t>Spain</t>
        </is>
      </c>
      <c r="F36" t="inlineStr">
        <is>
          <t>DEU</t>
        </is>
      </c>
      <c r="G36" t="inlineStr">
        <is>
          <t>Germany</t>
        </is>
      </c>
      <c r="H36" t="n">
        <v>17465000</v>
      </c>
      <c r="I36" t="n">
        <v>1634000</v>
      </c>
      <c r="J36" t="n">
        <v>306000</v>
      </c>
      <c r="K36" t="inlineStr"/>
      <c r="L36" t="inlineStr"/>
      <c r="M36" t="n">
        <v>490000</v>
      </c>
      <c r="N36" t="inlineStr"/>
      <c r="O36" t="n">
        <v>2696000</v>
      </c>
      <c r="P36" t="inlineStr"/>
      <c r="Q36" t="inlineStr"/>
      <c r="R36" t="inlineStr">
        <is>
          <t>EUR</t>
        </is>
      </c>
      <c r="S36" t="n">
        <v>0.1872705018359853</v>
      </c>
      <c r="T36" t="n">
        <v>14.30654155440208</v>
      </c>
      <c r="U36" t="n">
        <v>0.03507024085790178</v>
      </c>
    </row>
    <row r="37">
      <c r="A37" t="inlineStr">
        <is>
          <t>INTERPUMP</t>
        </is>
      </c>
      <c r="B37" t="n">
        <v>2021</v>
      </c>
      <c r="C37" t="inlineStr">
        <is>
          <t>Industrial, Electric and Electronic Machinery</t>
        </is>
      </c>
      <c r="D37" t="inlineStr">
        <is>
          <t>ITA</t>
        </is>
      </c>
      <c r="E37" t="inlineStr">
        <is>
          <t>Italy</t>
        </is>
      </c>
      <c r="F37" t="inlineStr">
        <is>
          <t>DEU</t>
        </is>
      </c>
      <c r="G37" t="inlineStr">
        <is>
          <t>Germany</t>
        </is>
      </c>
      <c r="H37" t="n">
        <v>122460000</v>
      </c>
      <c r="I37" t="n">
        <v>30720000</v>
      </c>
      <c r="J37" t="n">
        <v>8253000</v>
      </c>
      <c r="K37" t="n">
        <v>538</v>
      </c>
      <c r="L37" t="n">
        <v>29062000</v>
      </c>
      <c r="M37" t="n">
        <v>9345000</v>
      </c>
      <c r="N37" t="n">
        <v>89688000</v>
      </c>
      <c r="O37" t="n">
        <v>32772000</v>
      </c>
      <c r="P37" t="n">
        <v>54768000</v>
      </c>
      <c r="Q37" t="n">
        <v>86343000</v>
      </c>
      <c r="R37" t="inlineStr">
        <is>
          <t>EUR</t>
        </is>
      </c>
      <c r="S37" t="n">
        <v>0.26865234375</v>
      </c>
      <c r="T37" t="n">
        <v>17.24042446624374</v>
      </c>
      <c r="U37" t="n">
        <v>0.07217408180236817</v>
      </c>
    </row>
    <row r="38">
      <c r="A38" t="inlineStr">
        <is>
          <t>LUSH</t>
        </is>
      </c>
      <c r="B38" t="n">
        <v>2019</v>
      </c>
      <c r="C38" t="inlineStr">
        <is>
          <t>Chemicals, Cosmetics and Paints</t>
        </is>
      </c>
      <c r="D38" t="inlineStr">
        <is>
          <t>GBR</t>
        </is>
      </c>
      <c r="E38" t="inlineStr">
        <is>
          <t>United Kingdom</t>
        </is>
      </c>
      <c r="F38" t="inlineStr">
        <is>
          <t>DEU</t>
        </is>
      </c>
      <c r="G38" t="inlineStr">
        <is>
          <t>Germany</t>
        </is>
      </c>
      <c r="H38" t="n">
        <v>63450562.2201716</v>
      </c>
      <c r="I38" t="n">
        <v>2927874.04445356</v>
      </c>
      <c r="J38" t="n">
        <v>529751.529443932</v>
      </c>
      <c r="K38" t="n">
        <v>1051</v>
      </c>
      <c r="L38" t="inlineStr"/>
      <c r="M38" t="n">
        <v>424940.4741561</v>
      </c>
      <c r="N38" t="n">
        <v>34356380.3729906</v>
      </c>
      <c r="O38" t="n">
        <v>29094181.8471809</v>
      </c>
      <c r="P38" t="inlineStr"/>
      <c r="Q38" t="inlineStr"/>
      <c r="R38" t="inlineStr">
        <is>
          <t>EUR</t>
        </is>
      </c>
      <c r="S38" t="n">
        <v>0.1809338521400778</v>
      </c>
      <c r="T38" t="n">
        <v>14.8897871355334</v>
      </c>
      <c r="U38" t="n">
        <v>0.03273705885024754</v>
      </c>
    </row>
    <row r="39">
      <c r="A39" t="inlineStr">
        <is>
          <t>NN</t>
        </is>
      </c>
      <c r="B39" t="n">
        <v>2019</v>
      </c>
      <c r="C39" t="inlineStr">
        <is>
          <t>Business and Financial Services</t>
        </is>
      </c>
      <c r="D39" t="inlineStr">
        <is>
          <t>NLD</t>
        </is>
      </c>
      <c r="E39" t="inlineStr">
        <is>
          <t>Netherlands</t>
        </is>
      </c>
      <c r="F39" t="inlineStr">
        <is>
          <t>DEU</t>
        </is>
      </c>
      <c r="G39" t="inlineStr">
        <is>
          <t>Germany</t>
        </is>
      </c>
      <c r="H39" t="n">
        <v>38000000</v>
      </c>
      <c r="I39" t="n">
        <v>37000000</v>
      </c>
      <c r="J39" t="n">
        <v>2000000</v>
      </c>
      <c r="K39" t="n">
        <v>10</v>
      </c>
      <c r="L39" t="inlineStr"/>
      <c r="M39" t="n">
        <v>7000000</v>
      </c>
      <c r="N39" t="inlineStr"/>
      <c r="O39" t="inlineStr"/>
      <c r="P39" t="inlineStr"/>
      <c r="Q39" t="inlineStr"/>
      <c r="R39" t="inlineStr">
        <is>
          <t>EUR</t>
        </is>
      </c>
      <c r="S39" t="n">
        <v>0.05405405405405406</v>
      </c>
      <c r="T39" t="n">
        <v>17.4264284706085</v>
      </c>
      <c r="U39" t="n">
        <v>0.002921840759678598</v>
      </c>
    </row>
    <row r="40">
      <c r="A40" t="inlineStr">
        <is>
          <t>NN</t>
        </is>
      </c>
      <c r="B40" t="n">
        <v>2020</v>
      </c>
      <c r="C40" t="inlineStr">
        <is>
          <t>Business and Financial Services</t>
        </is>
      </c>
      <c r="D40" t="inlineStr">
        <is>
          <t>NLD</t>
        </is>
      </c>
      <c r="E40" t="inlineStr">
        <is>
          <t>Netherlands</t>
        </is>
      </c>
      <c r="F40" t="inlineStr">
        <is>
          <t>DEU</t>
        </is>
      </c>
      <c r="G40" t="inlineStr">
        <is>
          <t>Germany</t>
        </is>
      </c>
      <c r="H40" t="n">
        <v>25000000</v>
      </c>
      <c r="I40" t="n">
        <v>22000000</v>
      </c>
      <c r="J40" t="n">
        <v>8000000</v>
      </c>
      <c r="K40" t="n">
        <v>10</v>
      </c>
      <c r="L40" t="inlineStr"/>
      <c r="M40" t="n">
        <v>6000000</v>
      </c>
      <c r="N40" t="inlineStr"/>
      <c r="O40" t="inlineStr"/>
      <c r="P40" t="inlineStr"/>
      <c r="Q40" t="inlineStr"/>
      <c r="R40" t="inlineStr">
        <is>
          <t>EUR</t>
        </is>
      </c>
      <c r="S40" t="n">
        <v>0.3636363636363636</v>
      </c>
      <c r="T40" t="n">
        <v>16.90655301132259</v>
      </c>
      <c r="U40" t="n">
        <v>0.1322314049586777</v>
      </c>
    </row>
    <row r="41">
      <c r="A41" t="inlineStr">
        <is>
          <t>NN</t>
        </is>
      </c>
      <c r="B41" t="n">
        <v>2021</v>
      </c>
      <c r="C41" t="inlineStr">
        <is>
          <t>Business and Financial Services</t>
        </is>
      </c>
      <c r="D41" t="inlineStr">
        <is>
          <t>NLD</t>
        </is>
      </c>
      <c r="E41" t="inlineStr">
        <is>
          <t>Netherlands</t>
        </is>
      </c>
      <c r="F41" t="inlineStr">
        <is>
          <t>DEU</t>
        </is>
      </c>
      <c r="G41" t="inlineStr">
        <is>
          <t>Germany</t>
        </is>
      </c>
      <c r="H41" t="n">
        <v>102000000</v>
      </c>
      <c r="I41" t="n">
        <v>131000000</v>
      </c>
      <c r="J41" t="n">
        <v>2000000</v>
      </c>
      <c r="K41" t="n">
        <v>9</v>
      </c>
      <c r="L41" t="inlineStr"/>
      <c r="M41" t="n">
        <v>20000000</v>
      </c>
      <c r="N41" t="inlineStr"/>
      <c r="O41" t="inlineStr"/>
      <c r="P41" t="inlineStr"/>
      <c r="Q41" t="inlineStr"/>
      <c r="R41" t="inlineStr">
        <is>
          <t>EUR</t>
        </is>
      </c>
      <c r="S41" t="n">
        <v>0.01526717557251908</v>
      </c>
      <c r="T41" t="n">
        <v>18.69070788116543</v>
      </c>
      <c r="U41" t="n">
        <v>0.0002330866499621234</v>
      </c>
    </row>
    <row r="42">
      <c r="A42" t="inlineStr">
        <is>
          <t>OMRON</t>
        </is>
      </c>
      <c r="B42" t="n">
        <v>2021</v>
      </c>
      <c r="C42" t="inlineStr">
        <is>
          <t>Industrial, Electric and Electronic Machinery</t>
        </is>
      </c>
      <c r="D42" t="inlineStr">
        <is>
          <t>JPN</t>
        </is>
      </c>
      <c r="E42" t="inlineStr">
        <is>
          <t>Japan</t>
        </is>
      </c>
      <c r="F42" t="inlineStr">
        <is>
          <t>DEU</t>
        </is>
      </c>
      <c r="G42" t="inlineStr">
        <is>
          <t>Germany</t>
        </is>
      </c>
      <c r="H42" t="n">
        <v>75454265.4758238</v>
      </c>
      <c r="I42" t="n">
        <v>4157684.01601478</v>
      </c>
      <c r="J42" t="n">
        <v>692947.3360024641</v>
      </c>
      <c r="K42" t="n">
        <v>211</v>
      </c>
      <c r="L42" t="inlineStr"/>
      <c r="M42" t="n">
        <v>769941.484447182</v>
      </c>
      <c r="N42" t="inlineStr"/>
      <c r="O42" t="inlineStr"/>
      <c r="P42" t="inlineStr"/>
      <c r="Q42" t="inlineStr"/>
      <c r="R42" t="inlineStr">
        <is>
          <t>EUR</t>
        </is>
      </c>
      <c r="S42" t="n">
        <v>0.1666666666666669</v>
      </c>
      <c r="T42" t="n">
        <v>15.24046875028795</v>
      </c>
      <c r="U42" t="n">
        <v>0.02777777777777784</v>
      </c>
    </row>
    <row r="43">
      <c r="A43" t="inlineStr">
        <is>
          <t>ØRSTED</t>
        </is>
      </c>
      <c r="B43" t="n">
        <v>2020</v>
      </c>
      <c r="C43" t="inlineStr">
        <is>
          <t>Utilities</t>
        </is>
      </c>
      <c r="D43" t="inlineStr">
        <is>
          <t>DNK</t>
        </is>
      </c>
      <c r="E43" t="inlineStr">
        <is>
          <t>Denmark</t>
        </is>
      </c>
      <c r="F43" t="inlineStr">
        <is>
          <t>DEU</t>
        </is>
      </c>
      <c r="G43" t="inlineStr">
        <is>
          <t>Germany</t>
        </is>
      </c>
      <c r="H43" t="n">
        <v>490059295.430764</v>
      </c>
      <c r="I43" t="n">
        <v>124761879.209037</v>
      </c>
      <c r="J43" t="n">
        <v>268305.116578573</v>
      </c>
      <c r="K43" t="n">
        <v>219</v>
      </c>
      <c r="L43" t="n">
        <v>1511094416.57052</v>
      </c>
      <c r="M43" t="n">
        <v>37428563.762711</v>
      </c>
      <c r="N43" t="n">
        <v>398164793.002603</v>
      </c>
      <c r="O43" t="n">
        <v>91894502.42816129</v>
      </c>
      <c r="P43" t="inlineStr"/>
      <c r="Q43" t="inlineStr"/>
      <c r="R43" t="inlineStr">
        <is>
          <t>EUR</t>
        </is>
      </c>
      <c r="S43" t="n">
        <v>0.002150537634408593</v>
      </c>
      <c r="T43" t="n">
        <v>18.64191751218291</v>
      </c>
      <c r="U43" t="n">
        <v>4.624812117007705e-06</v>
      </c>
    </row>
    <row r="44">
      <c r="A44" t="inlineStr">
        <is>
          <t>PANDORA</t>
        </is>
      </c>
      <c r="B44" t="n">
        <v>2021</v>
      </c>
      <c r="C44" t="inlineStr">
        <is>
          <t>Clothing and Luxury Goods</t>
        </is>
      </c>
      <c r="D44" t="inlineStr">
        <is>
          <t>DNK</t>
        </is>
      </c>
      <c r="E44" t="inlineStr">
        <is>
          <t>Denmark</t>
        </is>
      </c>
      <c r="F44" t="inlineStr">
        <is>
          <t>DEU</t>
        </is>
      </c>
      <c r="G44" t="inlineStr">
        <is>
          <t>Germany</t>
        </is>
      </c>
      <c r="H44" t="n">
        <v>215274976.469006</v>
      </c>
      <c r="I44" t="n">
        <v>11832728.2506387</v>
      </c>
      <c r="J44" t="n">
        <v>1882479.49441979</v>
      </c>
      <c r="K44" t="n">
        <v>908</v>
      </c>
      <c r="L44" t="inlineStr"/>
      <c r="M44" t="n">
        <v>3496033.34677962</v>
      </c>
      <c r="N44" t="inlineStr"/>
      <c r="O44" t="inlineStr"/>
      <c r="P44" t="inlineStr"/>
      <c r="Q44" t="n">
        <v>13311819.2819685</v>
      </c>
      <c r="R44" t="inlineStr">
        <is>
          <t>EUR</t>
        </is>
      </c>
      <c r="S44" t="n">
        <v>0.1590909090909088</v>
      </c>
      <c r="T44" t="n">
        <v>16.28637983072132</v>
      </c>
      <c r="U44" t="n">
        <v>0.02530991735537182</v>
      </c>
    </row>
    <row r="45">
      <c r="A45" t="inlineStr">
        <is>
          <t>PARQUES REUNIDOS</t>
        </is>
      </c>
      <c r="B45" t="n">
        <v>2021</v>
      </c>
      <c r="C45" t="inlineStr">
        <is>
          <t>Travel, Personal &amp; Leisure</t>
        </is>
      </c>
      <c r="D45" t="inlineStr">
        <is>
          <t>ESP</t>
        </is>
      </c>
      <c r="E45" t="inlineStr">
        <is>
          <t>Spain</t>
        </is>
      </c>
      <c r="F45" t="inlineStr">
        <is>
          <t>DEU</t>
        </is>
      </c>
      <c r="G45" t="inlineStr">
        <is>
          <t>Germany</t>
        </is>
      </c>
      <c r="H45" t="inlineStr"/>
      <c r="I45" t="n">
        <v>3848000</v>
      </c>
      <c r="J45" t="n">
        <v>191000</v>
      </c>
      <c r="K45" t="inlineStr"/>
      <c r="L45" t="inlineStr"/>
      <c r="M45" t="n">
        <v>5965000</v>
      </c>
      <c r="N45" t="n">
        <v>107956000</v>
      </c>
      <c r="O45" t="inlineStr"/>
      <c r="P45" t="inlineStr"/>
      <c r="Q45" t="inlineStr"/>
      <c r="R45" t="inlineStr">
        <is>
          <t>EUR</t>
        </is>
      </c>
      <c r="S45" t="n">
        <v>0.04963617463617464</v>
      </c>
      <c r="T45" t="n">
        <v>15.16306409076773</v>
      </c>
      <c r="U45" t="n">
        <v>0.002463749832512826</v>
      </c>
    </row>
    <row r="46">
      <c r="A46" t="inlineStr">
        <is>
          <t>PEARSON</t>
        </is>
      </c>
      <c r="B46" t="n">
        <v>2020</v>
      </c>
      <c r="C46" t="inlineStr">
        <is>
          <t>Printing &amp; Publishing</t>
        </is>
      </c>
      <c r="D46" t="inlineStr">
        <is>
          <t>GBR</t>
        </is>
      </c>
      <c r="E46" t="inlineStr">
        <is>
          <t>United Kingdom</t>
        </is>
      </c>
      <c r="F46" t="inlineStr">
        <is>
          <t>DEU</t>
        </is>
      </c>
      <c r="G46" t="inlineStr">
        <is>
          <t>Germany</t>
        </is>
      </c>
      <c r="H46" t="n">
        <v>30347308.0813757</v>
      </c>
      <c r="I46" t="n">
        <v>4495897.49353715</v>
      </c>
      <c r="J46" t="n">
        <v>1123974.37338429</v>
      </c>
      <c r="K46" t="n">
        <v>134</v>
      </c>
      <c r="L46" t="n">
        <v>5619871.86692143</v>
      </c>
      <c r="M46" t="n">
        <v>1123974.37338429</v>
      </c>
      <c r="N46" t="n">
        <v>29223333.7079915</v>
      </c>
      <c r="O46" t="n">
        <v>1123974.37338429</v>
      </c>
      <c r="P46" t="n">
        <v>66314488.0296729</v>
      </c>
      <c r="Q46" t="n">
        <v>-22479487.4676857</v>
      </c>
      <c r="R46" t="inlineStr">
        <is>
          <t>EUR</t>
        </is>
      </c>
      <c r="S46" t="n">
        <v>0.2500000000000005</v>
      </c>
      <c r="T46" t="n">
        <v>15.31867587081558</v>
      </c>
      <c r="U46" t="n">
        <v>0.06250000000000025</v>
      </c>
    </row>
    <row r="47">
      <c r="A47" t="inlineStr">
        <is>
          <t>PEARSON</t>
        </is>
      </c>
      <c r="B47" t="n">
        <v>2021</v>
      </c>
      <c r="C47" t="inlineStr">
        <is>
          <t>Printing &amp; Publishing</t>
        </is>
      </c>
      <c r="D47" t="inlineStr">
        <is>
          <t>GBR</t>
        </is>
      </c>
      <c r="E47" t="inlineStr">
        <is>
          <t>United Kingdom</t>
        </is>
      </c>
      <c r="F47" t="inlineStr">
        <is>
          <t>DEU</t>
        </is>
      </c>
      <c r="G47" t="inlineStr">
        <is>
          <t>Germany</t>
        </is>
      </c>
      <c r="H47" t="n">
        <v>29221731.037692</v>
      </c>
      <c r="I47" t="n">
        <v>1425081.43322476</v>
      </c>
      <c r="J47" t="n">
        <v>446719.404374128</v>
      </c>
      <c r="K47" t="n">
        <v>132</v>
      </c>
      <c r="L47" t="n">
        <v>5666589.11121452</v>
      </c>
      <c r="M47" t="n">
        <v>271056.30525826</v>
      </c>
      <c r="N47" t="n">
        <v>28413215.4490461</v>
      </c>
      <c r="O47" t="n">
        <v>808515.588645882</v>
      </c>
      <c r="P47" t="n">
        <v>63802931.5960912</v>
      </c>
      <c r="Q47" t="n">
        <v>-19498604.0018613</v>
      </c>
      <c r="R47" t="inlineStr">
        <is>
          <t>EUR</t>
        </is>
      </c>
      <c r="S47" t="n">
        <v>0.3134693877551014</v>
      </c>
      <c r="T47" t="n">
        <v>14.16973951617475</v>
      </c>
      <c r="U47" t="n">
        <v>0.09826305705955812</v>
      </c>
    </row>
    <row r="48">
      <c r="A48" t="inlineStr">
        <is>
          <t>PHILIPS</t>
        </is>
      </c>
      <c r="B48" t="n">
        <v>2020</v>
      </c>
      <c r="C48" t="inlineStr">
        <is>
          <t>Industrial, Electric and Electronic Machinery</t>
        </is>
      </c>
      <c r="D48" t="inlineStr">
        <is>
          <t>NLD</t>
        </is>
      </c>
      <c r="E48" t="inlineStr">
        <is>
          <t>Netherlands</t>
        </is>
      </c>
      <c r="F48" t="inlineStr">
        <is>
          <t>DEU</t>
        </is>
      </c>
      <c r="G48" t="inlineStr">
        <is>
          <t>Germany</t>
        </is>
      </c>
      <c r="H48" t="n">
        <v>3193990000</v>
      </c>
      <c r="I48" t="n">
        <v>502120000</v>
      </c>
      <c r="J48" t="n">
        <v>185120000</v>
      </c>
      <c r="K48" t="n">
        <v>3825</v>
      </c>
      <c r="L48" t="n">
        <v>172690000</v>
      </c>
      <c r="M48" t="n">
        <v>117550000</v>
      </c>
      <c r="N48" t="n">
        <v>1344510000</v>
      </c>
      <c r="O48" t="n">
        <v>1849480000</v>
      </c>
      <c r="P48" t="inlineStr"/>
      <c r="Q48" t="inlineStr"/>
      <c r="R48" t="inlineStr">
        <is>
          <t>EUR</t>
        </is>
      </c>
      <c r="S48" t="n">
        <v>0.3686768103242253</v>
      </c>
      <c r="T48" t="n">
        <v>20.03434969291428</v>
      </c>
      <c r="U48" t="n">
        <v>0.1359225904708448</v>
      </c>
    </row>
    <row r="49">
      <c r="A49" t="inlineStr">
        <is>
          <t>PHILIPS</t>
        </is>
      </c>
      <c r="B49" t="n">
        <v>2021</v>
      </c>
      <c r="C49" t="inlineStr">
        <is>
          <t>Industrial, Electric and Electronic Machinery</t>
        </is>
      </c>
      <c r="D49" t="inlineStr">
        <is>
          <t>NLD</t>
        </is>
      </c>
      <c r="E49" t="inlineStr">
        <is>
          <t>Netherlands</t>
        </is>
      </c>
      <c r="F49" t="inlineStr">
        <is>
          <t>DEU</t>
        </is>
      </c>
      <c r="G49" t="inlineStr">
        <is>
          <t>Germany</t>
        </is>
      </c>
      <c r="H49" t="n">
        <v>2261170000</v>
      </c>
      <c r="I49" t="n">
        <v>130530000</v>
      </c>
      <c r="J49" t="n">
        <v>27700000</v>
      </c>
      <c r="K49" t="n">
        <v>3762</v>
      </c>
      <c r="L49" t="n">
        <v>168500000</v>
      </c>
      <c r="M49" t="n">
        <v>35920000</v>
      </c>
      <c r="N49" t="n">
        <v>970430000</v>
      </c>
      <c r="O49" t="n">
        <v>1290740000</v>
      </c>
      <c r="P49" t="inlineStr"/>
      <c r="Q49" t="inlineStr"/>
      <c r="R49" t="inlineStr">
        <is>
          <t>EUR</t>
        </is>
      </c>
      <c r="S49" t="n">
        <v>0.2122117520876427</v>
      </c>
      <c r="T49" t="n">
        <v>18.68711364336497</v>
      </c>
      <c r="U49" t="n">
        <v>0.04503382772410711</v>
      </c>
    </row>
    <row r="50">
      <c r="A50" t="inlineStr">
        <is>
          <t>PIAGGIO</t>
        </is>
      </c>
      <c r="B50" t="n">
        <v>2021</v>
      </c>
      <c r="C50" t="inlineStr">
        <is>
          <t>Unclassified Manufacturing</t>
        </is>
      </c>
      <c r="D50" t="inlineStr">
        <is>
          <t>ITA</t>
        </is>
      </c>
      <c r="E50" t="inlineStr">
        <is>
          <t>Italy</t>
        </is>
      </c>
      <c r="F50" t="inlineStr">
        <is>
          <t>DEU</t>
        </is>
      </c>
      <c r="G50" t="inlineStr">
        <is>
          <t>Germany</t>
        </is>
      </c>
      <c r="H50" t="n">
        <v>4000000</v>
      </c>
      <c r="I50" t="n">
        <v>1000000</v>
      </c>
      <c r="J50" t="n">
        <v>0</v>
      </c>
      <c r="K50" t="n">
        <v>31</v>
      </c>
      <c r="L50" t="n">
        <v>0</v>
      </c>
      <c r="M50" t="n">
        <v>0</v>
      </c>
      <c r="N50" t="n">
        <v>0</v>
      </c>
      <c r="O50" t="n">
        <v>4000000</v>
      </c>
      <c r="P50" t="inlineStr"/>
      <c r="Q50" t="inlineStr"/>
      <c r="R50" t="inlineStr">
        <is>
          <t>EUR</t>
        </is>
      </c>
      <c r="S50" t="n">
        <v>0</v>
      </c>
      <c r="T50" t="n">
        <v>13.81551055796427</v>
      </c>
      <c r="U50" t="n">
        <v>0</v>
      </c>
    </row>
    <row r="51">
      <c r="A51" t="inlineStr">
        <is>
          <t>PIQUADRO</t>
        </is>
      </c>
      <c r="B51" t="n">
        <v>2021</v>
      </c>
      <c r="C51" t="inlineStr">
        <is>
          <t>Retail</t>
        </is>
      </c>
      <c r="D51" t="inlineStr">
        <is>
          <t>ITA</t>
        </is>
      </c>
      <c r="E51" t="inlineStr">
        <is>
          <t>Italy</t>
        </is>
      </c>
      <c r="F51" t="inlineStr">
        <is>
          <t>DEU</t>
        </is>
      </c>
      <c r="G51" t="inlineStr">
        <is>
          <t>Germany</t>
        </is>
      </c>
      <c r="H51" t="n">
        <v>24000</v>
      </c>
      <c r="I51" t="n">
        <v>27000</v>
      </c>
      <c r="J51" t="n">
        <v>3000</v>
      </c>
      <c r="K51" t="n">
        <v>1</v>
      </c>
      <c r="L51" t="n">
        <v>0</v>
      </c>
      <c r="M51" t="n">
        <v>3000</v>
      </c>
      <c r="N51" t="n">
        <v>20000</v>
      </c>
      <c r="O51" t="n">
        <v>4000</v>
      </c>
      <c r="P51" t="inlineStr"/>
      <c r="Q51" t="inlineStr"/>
      <c r="R51" t="inlineStr">
        <is>
          <t>EUR</t>
        </is>
      </c>
      <c r="S51" t="n">
        <v>0.1111111111111111</v>
      </c>
      <c r="T51" t="n">
        <v>10.20359214498647</v>
      </c>
      <c r="U51" t="n">
        <v>0.01234567901234568</v>
      </c>
    </row>
    <row r="52">
      <c r="A52" t="inlineStr">
        <is>
          <t>PRYSMIAN</t>
        </is>
      </c>
      <c r="B52" t="n">
        <v>2021</v>
      </c>
      <c r="C52" t="inlineStr">
        <is>
          <t>Communications</t>
        </is>
      </c>
      <c r="D52" t="inlineStr">
        <is>
          <t>ITA</t>
        </is>
      </c>
      <c r="E52" t="inlineStr">
        <is>
          <t>Italy</t>
        </is>
      </c>
      <c r="F52" t="inlineStr">
        <is>
          <t>DEU</t>
        </is>
      </c>
      <c r="G52" t="inlineStr">
        <is>
          <t>Germany</t>
        </is>
      </c>
      <c r="H52" t="n">
        <v>1126000000</v>
      </c>
      <c r="I52" t="n">
        <v>10000000</v>
      </c>
      <c r="J52" t="n">
        <v>1000000</v>
      </c>
      <c r="K52" t="n">
        <v>1910</v>
      </c>
      <c r="L52" t="n">
        <v>322000000</v>
      </c>
      <c r="M52" t="n">
        <v>3000000</v>
      </c>
      <c r="N52" t="n">
        <v>836000000</v>
      </c>
      <c r="O52" t="n">
        <v>290000000</v>
      </c>
      <c r="P52" t="inlineStr"/>
      <c r="Q52" t="inlineStr"/>
      <c r="R52" t="inlineStr">
        <is>
          <t>EUR</t>
        </is>
      </c>
      <c r="S52" t="n">
        <v>0.1</v>
      </c>
      <c r="T52" t="n">
        <v>16.11809565095832</v>
      </c>
      <c r="U52" t="n">
        <v>0.01</v>
      </c>
    </row>
    <row r="53">
      <c r="A53" t="inlineStr">
        <is>
          <t>QIAGEN</t>
        </is>
      </c>
      <c r="B53" t="n">
        <v>2020</v>
      </c>
      <c r="C53" t="inlineStr">
        <is>
          <t>Biomedical</t>
        </is>
      </c>
      <c r="D53" t="inlineStr">
        <is>
          <t>NLD</t>
        </is>
      </c>
      <c r="E53" t="inlineStr">
        <is>
          <t>Netherlands</t>
        </is>
      </c>
      <c r="F53" t="inlineStr">
        <is>
          <t>DEU</t>
        </is>
      </c>
      <c r="G53" t="inlineStr">
        <is>
          <t>Germany</t>
        </is>
      </c>
      <c r="H53" t="n">
        <v>867339345.123446</v>
      </c>
      <c r="I53" t="n">
        <v>149410786.202066</v>
      </c>
      <c r="J53" t="n">
        <v>4141131.15041149</v>
      </c>
      <c r="K53" t="n">
        <v>1361</v>
      </c>
      <c r="L53" t="n">
        <v>337320084.048328</v>
      </c>
      <c r="M53" t="n">
        <v>-1830677.63964279</v>
      </c>
      <c r="N53" t="n">
        <v>292801610.926283</v>
      </c>
      <c r="O53" t="n">
        <v>574537734.197163</v>
      </c>
      <c r="P53" t="n">
        <v>558188583.435475</v>
      </c>
      <c r="Q53" t="n">
        <v>-243705130.450009</v>
      </c>
      <c r="R53" t="inlineStr">
        <is>
          <t>EUR</t>
        </is>
      </c>
      <c r="S53" t="n">
        <v>0.02771641362499053</v>
      </c>
      <c r="T53" t="n">
        <v>18.82221002485791</v>
      </c>
      <c r="U53" t="n">
        <v>0.0007681995842315609</v>
      </c>
    </row>
    <row r="54">
      <c r="A54" t="inlineStr">
        <is>
          <t>QIAGEN</t>
        </is>
      </c>
      <c r="B54" t="n">
        <v>2021</v>
      </c>
      <c r="C54" t="inlineStr">
        <is>
          <t>Biomedical</t>
        </is>
      </c>
      <c r="D54" t="inlineStr">
        <is>
          <t>NLD</t>
        </is>
      </c>
      <c r="E54" t="inlineStr">
        <is>
          <t>Netherlands</t>
        </is>
      </c>
      <c r="F54" t="inlineStr">
        <is>
          <t>DEU</t>
        </is>
      </c>
      <c r="G54" t="inlineStr">
        <is>
          <t>Germany</t>
        </is>
      </c>
      <c r="H54" t="n">
        <v>1031340999.40813</v>
      </c>
      <c r="I54" t="n">
        <v>194966601.84324</v>
      </c>
      <c r="J54" t="n">
        <v>13320368.6480088</v>
      </c>
      <c r="K54" t="n">
        <v>1517</v>
      </c>
      <c r="L54" t="n">
        <v>427008539.781855</v>
      </c>
      <c r="M54" t="n">
        <v>-12728502.578845</v>
      </c>
      <c r="N54" t="n">
        <v>312109579.775091</v>
      </c>
      <c r="O54" t="n">
        <v>719231419.6330431</v>
      </c>
      <c r="P54" t="n">
        <v>654876976.409909</v>
      </c>
      <c r="Q54" t="n">
        <v>-103854739.156168</v>
      </c>
      <c r="R54" t="inlineStr">
        <is>
          <t>EUR</t>
        </is>
      </c>
      <c r="S54" t="n">
        <v>0.06832128437422756</v>
      </c>
      <c r="T54" t="n">
        <v>19.08833882926043</v>
      </c>
      <c r="U54" t="n">
        <v>0.004667797898544071</v>
      </c>
    </row>
    <row r="55">
      <c r="A55" t="inlineStr">
        <is>
          <t>REPSOL</t>
        </is>
      </c>
      <c r="B55" t="n">
        <v>2019</v>
      </c>
      <c r="C55" t="inlineStr">
        <is>
          <t>Oil, Gas and Mining</t>
        </is>
      </c>
      <c r="D55" t="inlineStr">
        <is>
          <t>ESP</t>
        </is>
      </c>
      <c r="E55" t="inlineStr">
        <is>
          <t>Spain</t>
        </is>
      </c>
      <c r="F55" t="inlineStr">
        <is>
          <t>DEU</t>
        </is>
      </c>
      <c r="G55" t="inlineStr">
        <is>
          <t>Germany</t>
        </is>
      </c>
      <c r="H55" t="n">
        <v>2000000</v>
      </c>
      <c r="I55" t="n">
        <v>1000000</v>
      </c>
      <c r="J55" t="n">
        <v>0</v>
      </c>
      <c r="K55" t="n">
        <v>5</v>
      </c>
      <c r="L55" t="n">
        <v>0</v>
      </c>
      <c r="M55" t="n">
        <v>0</v>
      </c>
      <c r="N55" t="n">
        <v>20000</v>
      </c>
      <c r="O55" t="n">
        <v>1980000</v>
      </c>
      <c r="P55" t="n">
        <v>0</v>
      </c>
      <c r="Q55" t="n">
        <v>2000000</v>
      </c>
      <c r="R55" t="inlineStr">
        <is>
          <t>EUR</t>
        </is>
      </c>
      <c r="S55" t="n">
        <v>0</v>
      </c>
      <c r="T55" t="n">
        <v>13.81551055796427</v>
      </c>
      <c r="U55" t="n">
        <v>0</v>
      </c>
    </row>
    <row r="56">
      <c r="A56" t="inlineStr">
        <is>
          <t>REPSOL</t>
        </is>
      </c>
      <c r="B56" t="n">
        <v>2021</v>
      </c>
      <c r="C56" t="inlineStr">
        <is>
          <t>Oil, Gas and Mining</t>
        </is>
      </c>
      <c r="D56" t="inlineStr">
        <is>
          <t>ESP</t>
        </is>
      </c>
      <c r="E56" t="inlineStr">
        <is>
          <t>Spain</t>
        </is>
      </c>
      <c r="F56" t="inlineStr">
        <is>
          <t>DEU</t>
        </is>
      </c>
      <c r="G56" t="inlineStr">
        <is>
          <t>Germany</t>
        </is>
      </c>
      <c r="H56" t="n">
        <v>2000000</v>
      </c>
      <c r="I56" t="n">
        <v>2000000</v>
      </c>
      <c r="J56" t="n">
        <v>0</v>
      </c>
      <c r="K56" t="n">
        <v>4</v>
      </c>
      <c r="L56" t="n">
        <v>0</v>
      </c>
      <c r="M56" t="n">
        <v>1000000</v>
      </c>
      <c r="N56" t="n">
        <v>20000</v>
      </c>
      <c r="O56" t="n">
        <v>1980000</v>
      </c>
      <c r="P56" t="n">
        <v>0</v>
      </c>
      <c r="Q56" t="n">
        <v>2000000</v>
      </c>
      <c r="R56" t="inlineStr">
        <is>
          <t>EUR</t>
        </is>
      </c>
      <c r="S56" t="n">
        <v>0</v>
      </c>
      <c r="T56" t="n">
        <v>14.50865773852422</v>
      </c>
      <c r="U56" t="n">
        <v>0</v>
      </c>
    </row>
    <row r="57">
      <c r="A57" t="inlineStr">
        <is>
          <t>RIO TINTO</t>
        </is>
      </c>
      <c r="B57" t="n">
        <v>2019</v>
      </c>
      <c r="C57" t="inlineStr">
        <is>
          <t>Oil, Gas and Mining</t>
        </is>
      </c>
      <c r="D57" t="inlineStr">
        <is>
          <t>AUS</t>
        </is>
      </c>
      <c r="E57" t="inlineStr">
        <is>
          <t>Australia</t>
        </is>
      </c>
      <c r="F57" t="inlineStr">
        <is>
          <t>DEU</t>
        </is>
      </c>
      <c r="G57" t="inlineStr">
        <is>
          <t>Germany</t>
        </is>
      </c>
      <c r="H57" t="n">
        <v>8842150.960250109</v>
      </c>
      <c r="I57" t="n">
        <v>3519457.79365788</v>
      </c>
      <c r="J57" t="n">
        <v>625377.4006252791</v>
      </c>
      <c r="K57" t="n">
        <v>22</v>
      </c>
      <c r="L57" t="n">
        <v>54361.7686467173</v>
      </c>
      <c r="M57" t="n">
        <v>79038.8566324252</v>
      </c>
      <c r="N57" t="n">
        <v>509154.979901742</v>
      </c>
      <c r="O57" t="n">
        <v>8332995.98034837</v>
      </c>
      <c r="P57" t="inlineStr"/>
      <c r="Q57" t="inlineStr"/>
      <c r="R57" t="inlineStr">
        <is>
          <t>EUR</t>
        </is>
      </c>
      <c r="S57" t="n">
        <v>0.1776914051227491</v>
      </c>
      <c r="T57" t="n">
        <v>15.07381749981688</v>
      </c>
      <c r="U57" t="n">
        <v>0.03157423545449695</v>
      </c>
    </row>
    <row r="58">
      <c r="A58" t="inlineStr">
        <is>
          <t>RIO TINTO</t>
        </is>
      </c>
      <c r="B58" t="n">
        <v>2020</v>
      </c>
      <c r="C58" t="inlineStr">
        <is>
          <t>Oil, Gas and Mining</t>
        </is>
      </c>
      <c r="D58" t="inlineStr">
        <is>
          <t>AUS</t>
        </is>
      </c>
      <c r="E58" t="inlineStr">
        <is>
          <t>Australia</t>
        </is>
      </c>
      <c r="F58" t="inlineStr">
        <is>
          <t>DEU</t>
        </is>
      </c>
      <c r="G58" t="inlineStr">
        <is>
          <t>Germany</t>
        </is>
      </c>
      <c r="H58" t="n">
        <v>5836082.99772369</v>
      </c>
      <c r="I58" t="n">
        <v>4692134.47732446</v>
      </c>
      <c r="J58" t="n">
        <v>396965.50516547</v>
      </c>
      <c r="K58" t="n">
        <v>18</v>
      </c>
      <c r="L58" t="n">
        <v>1866243.21484854</v>
      </c>
      <c r="M58" t="n">
        <v>810240.763438977</v>
      </c>
      <c r="N58" t="n">
        <v>439248.81807039</v>
      </c>
      <c r="O58" t="n">
        <v>5396834.1796533</v>
      </c>
      <c r="P58" t="inlineStr"/>
      <c r="Q58" t="inlineStr"/>
      <c r="R58" t="inlineStr">
        <is>
          <t>EUR</t>
        </is>
      </c>
      <c r="S58" t="n">
        <v>0.08460232908580807</v>
      </c>
      <c r="T58" t="n">
        <v>15.36139814932613</v>
      </c>
      <c r="U58" t="n">
        <v>0.007157554086743367</v>
      </c>
    </row>
    <row r="59">
      <c r="A59" t="inlineStr">
        <is>
          <t>RIO TINTO</t>
        </is>
      </c>
      <c r="B59" t="n">
        <v>2021</v>
      </c>
      <c r="C59" t="inlineStr">
        <is>
          <t>Oil, Gas and Mining</t>
        </is>
      </c>
      <c r="D59" t="inlineStr">
        <is>
          <t>AUS</t>
        </is>
      </c>
      <c r="E59" t="inlineStr">
        <is>
          <t>Australia</t>
        </is>
      </c>
      <c r="F59" t="inlineStr">
        <is>
          <t>DEU</t>
        </is>
      </c>
      <c r="G59" t="inlineStr">
        <is>
          <t>Germany</t>
        </is>
      </c>
      <c r="H59" t="n">
        <v>4793489.4732392</v>
      </c>
      <c r="I59" t="n">
        <v>8070377.94876131</v>
      </c>
      <c r="J59" t="n">
        <v>202452.862095206</v>
      </c>
      <c r="K59" t="n">
        <v>18</v>
      </c>
      <c r="L59" t="n">
        <v>1585673.45903441</v>
      </c>
      <c r="M59" t="n">
        <v>291047.60294242</v>
      </c>
      <c r="N59" t="n">
        <v>309455.483216369</v>
      </c>
      <c r="O59" t="n">
        <v>4484033.99002283</v>
      </c>
      <c r="P59" t="inlineStr"/>
      <c r="Q59" t="inlineStr"/>
      <c r="R59" t="inlineStr">
        <is>
          <t>EUR</t>
        </is>
      </c>
      <c r="S59" t="n">
        <v>0.02508592080576346</v>
      </c>
      <c r="T59" t="n">
        <v>15.90371087294888</v>
      </c>
      <c r="U59" t="n">
        <v>0.0006293034226730361</v>
      </c>
    </row>
    <row r="60">
      <c r="A60" t="inlineStr">
        <is>
          <t>SHELL</t>
        </is>
      </c>
      <c r="B60" t="n">
        <v>2018</v>
      </c>
      <c r="C60" t="inlineStr">
        <is>
          <t>Oil, Gas and Mining</t>
        </is>
      </c>
      <c r="D60" t="inlineStr">
        <is>
          <t>GBR</t>
        </is>
      </c>
      <c r="E60" t="inlineStr">
        <is>
          <t>United Kingdom</t>
        </is>
      </c>
      <c r="F60" t="inlineStr">
        <is>
          <t>DEU</t>
        </is>
      </c>
      <c r="G60" t="inlineStr">
        <is>
          <t>Germany</t>
        </is>
      </c>
      <c r="H60" t="n">
        <v>26513992596.9517</v>
      </c>
      <c r="I60" t="n">
        <v>137669923.793395</v>
      </c>
      <c r="J60" t="n">
        <v>58519557.1549534</v>
      </c>
      <c r="K60" t="n">
        <v>3339</v>
      </c>
      <c r="L60" t="n">
        <v>4557269917.01947</v>
      </c>
      <c r="M60" t="n">
        <v>36482850.9737511</v>
      </c>
      <c r="N60" t="n">
        <v>16874842378.4928</v>
      </c>
      <c r="O60" t="n">
        <v>9639150218.458929</v>
      </c>
      <c r="P60" t="inlineStr"/>
      <c r="Q60" t="n">
        <v>-2027616022.86198</v>
      </c>
      <c r="R60" t="inlineStr">
        <is>
          <t>EUR</t>
        </is>
      </c>
      <c r="S60" t="n">
        <v>0.4250714719852339</v>
      </c>
      <c r="T60" t="n">
        <v>18.7403695214935</v>
      </c>
      <c r="U60" t="n">
        <v>0.1806857562956935</v>
      </c>
    </row>
    <row r="61">
      <c r="A61" t="inlineStr">
        <is>
          <t>SOL</t>
        </is>
      </c>
      <c r="B61" t="n">
        <v>2020</v>
      </c>
      <c r="C61" t="inlineStr">
        <is>
          <t>Unclassified Manufacturing</t>
        </is>
      </c>
      <c r="D61" t="inlineStr">
        <is>
          <t>ITA</t>
        </is>
      </c>
      <c r="E61" t="inlineStr">
        <is>
          <t>Italy</t>
        </is>
      </c>
      <c r="F61" t="inlineStr">
        <is>
          <t>DEU</t>
        </is>
      </c>
      <c r="G61" t="inlineStr">
        <is>
          <t>Germany</t>
        </is>
      </c>
      <c r="H61" t="n">
        <v>148590000</v>
      </c>
      <c r="I61" t="n">
        <v>17270000</v>
      </c>
      <c r="J61" t="n">
        <v>4320000</v>
      </c>
      <c r="K61" t="n">
        <v>668</v>
      </c>
      <c r="L61" t="n">
        <v>69900000</v>
      </c>
      <c r="M61" t="n">
        <v>5290000</v>
      </c>
      <c r="N61" t="n">
        <v>127490000</v>
      </c>
      <c r="O61" t="n">
        <v>21100000</v>
      </c>
      <c r="P61" t="inlineStr"/>
      <c r="Q61" t="inlineStr"/>
      <c r="R61" t="inlineStr">
        <is>
          <t>EUR</t>
        </is>
      </c>
      <c r="S61" t="n">
        <v>0.2501447596988998</v>
      </c>
      <c r="T61" t="n">
        <v>16.66448145012286</v>
      </c>
      <c r="U61" t="n">
        <v>0.06257240080482034</v>
      </c>
    </row>
    <row r="62">
      <c r="A62" t="inlineStr">
        <is>
          <t>SOL</t>
        </is>
      </c>
      <c r="B62" t="n">
        <v>2021</v>
      </c>
      <c r="C62" t="inlineStr">
        <is>
          <t>Unclassified Manufacturing</t>
        </is>
      </c>
      <c r="D62" t="inlineStr">
        <is>
          <t>ITA</t>
        </is>
      </c>
      <c r="E62" t="inlineStr">
        <is>
          <t>Italy</t>
        </is>
      </c>
      <c r="F62" t="inlineStr">
        <is>
          <t>DEU</t>
        </is>
      </c>
      <c r="G62" t="inlineStr">
        <is>
          <t>Germany</t>
        </is>
      </c>
      <c r="H62" t="n">
        <v>164330000</v>
      </c>
      <c r="I62" t="n">
        <v>25240000</v>
      </c>
      <c r="J62" t="n">
        <v>6030000</v>
      </c>
      <c r="K62" t="n">
        <v>729</v>
      </c>
      <c r="L62" t="n">
        <v>62660000</v>
      </c>
      <c r="M62" t="n">
        <v>5980000</v>
      </c>
      <c r="N62" t="n">
        <v>141360000</v>
      </c>
      <c r="O62" t="n">
        <v>22970000</v>
      </c>
      <c r="P62" t="inlineStr"/>
      <c r="Q62" t="inlineStr"/>
      <c r="R62" t="inlineStr">
        <is>
          <t>EUR</t>
        </is>
      </c>
      <c r="S62" t="n">
        <v>0.2389064976228209</v>
      </c>
      <c r="T62" t="n">
        <v>17.04394059563729</v>
      </c>
      <c r="U62" t="n">
        <v>0.05707631460640294</v>
      </c>
    </row>
    <row r="63">
      <c r="A63" t="inlineStr">
        <is>
          <t>SWISS LIFE</t>
        </is>
      </c>
      <c r="B63" t="n">
        <v>2020</v>
      </c>
      <c r="C63" t="inlineStr">
        <is>
          <t>Business and Financial Services</t>
        </is>
      </c>
      <c r="D63" t="inlineStr">
        <is>
          <t>CHE</t>
        </is>
      </c>
      <c r="E63" t="inlineStr">
        <is>
          <t>Switzerland</t>
        </is>
      </c>
      <c r="F63" t="inlineStr">
        <is>
          <t>DEU</t>
        </is>
      </c>
      <c r="G63" t="inlineStr">
        <is>
          <t>Germany</t>
        </is>
      </c>
      <c r="H63" t="n">
        <v>2838860345.63288</v>
      </c>
      <c r="I63" t="n">
        <v>171882297.991593</v>
      </c>
      <c r="J63" t="n">
        <v>46707146.1933676</v>
      </c>
      <c r="K63" t="n">
        <v>2296</v>
      </c>
      <c r="L63" t="n">
        <v>2496964035.49743</v>
      </c>
      <c r="M63" t="n">
        <v>51377860.8127043</v>
      </c>
      <c r="N63" t="n">
        <v>2426903316.20738</v>
      </c>
      <c r="O63" t="n">
        <v>411957029.425502</v>
      </c>
      <c r="P63" t="inlineStr"/>
      <c r="Q63" t="inlineStr"/>
      <c r="R63" t="inlineStr">
        <is>
          <t>EUR</t>
        </is>
      </c>
      <c r="S63" t="n">
        <v>0.2717391304347823</v>
      </c>
      <c r="T63" t="n">
        <v>18.96232048652566</v>
      </c>
      <c r="U63" t="n">
        <v>0.07384215500945161</v>
      </c>
    </row>
    <row r="64">
      <c r="A64" t="inlineStr">
        <is>
          <t>SWISS LIFE</t>
        </is>
      </c>
      <c r="B64" t="n">
        <v>2021</v>
      </c>
      <c r="C64" t="inlineStr">
        <is>
          <t>Business and Financial Services</t>
        </is>
      </c>
      <c r="D64" t="inlineStr">
        <is>
          <t>CHE</t>
        </is>
      </c>
      <c r="E64" t="inlineStr">
        <is>
          <t>Switzerland</t>
        </is>
      </c>
      <c r="F64" t="inlineStr">
        <is>
          <t>DEU</t>
        </is>
      </c>
      <c r="G64" t="inlineStr">
        <is>
          <t>Germany</t>
        </is>
      </c>
      <c r="H64" t="n">
        <v>3225418555.17528</v>
      </c>
      <c r="I64" t="n">
        <v>177596892.054389</v>
      </c>
      <c r="J64" t="n">
        <v>35149384.8857645</v>
      </c>
      <c r="K64" t="n">
        <v>2343</v>
      </c>
      <c r="L64" t="n">
        <v>3004347423.92008</v>
      </c>
      <c r="M64" t="n">
        <v>51799093.5158635</v>
      </c>
      <c r="N64" t="n">
        <v>2748126907.77911</v>
      </c>
      <c r="O64" t="n">
        <v>477291647.396171</v>
      </c>
      <c r="P64" t="inlineStr"/>
      <c r="Q64" t="inlineStr"/>
      <c r="R64" t="inlineStr">
        <is>
          <t>EUR</t>
        </is>
      </c>
      <c r="S64" t="n">
        <v>0.1979166666666667</v>
      </c>
      <c r="T64" t="n">
        <v>18.99502688867546</v>
      </c>
      <c r="U64" t="n">
        <v>0.03917100694444448</v>
      </c>
    </row>
    <row r="65">
      <c r="A65" t="inlineStr">
        <is>
          <t>TELEFONICA</t>
        </is>
      </c>
      <c r="B65" t="n">
        <v>2019</v>
      </c>
      <c r="C65" t="inlineStr">
        <is>
          <t>Communications</t>
        </is>
      </c>
      <c r="D65" t="inlineStr">
        <is>
          <t>ESP</t>
        </is>
      </c>
      <c r="E65" t="inlineStr">
        <is>
          <t>Spain</t>
        </is>
      </c>
      <c r="F65" t="inlineStr">
        <is>
          <t>DEU</t>
        </is>
      </c>
      <c r="G65" t="inlineStr">
        <is>
          <t>Germany</t>
        </is>
      </c>
      <c r="H65" t="n">
        <v>7932000000</v>
      </c>
      <c r="I65" t="n">
        <v>281000000</v>
      </c>
      <c r="J65" t="n">
        <v>52000000</v>
      </c>
      <c r="K65" t="n">
        <v>8235</v>
      </c>
      <c r="L65" t="n">
        <v>3959000000</v>
      </c>
      <c r="M65" t="n">
        <v>81000000</v>
      </c>
      <c r="N65" t="n">
        <v>7870000000</v>
      </c>
      <c r="O65" t="n">
        <v>62000000</v>
      </c>
      <c r="P65" t="inlineStr"/>
      <c r="Q65" t="inlineStr"/>
      <c r="R65" t="inlineStr">
        <is>
          <t>EUR</t>
        </is>
      </c>
      <c r="S65" t="n">
        <v>0.1850533807829181</v>
      </c>
      <c r="T65" t="n">
        <v>19.45386522729802</v>
      </c>
      <c r="U65" t="n">
        <v>0.03424475373918769</v>
      </c>
    </row>
    <row r="66">
      <c r="A66" t="inlineStr">
        <is>
          <t>TELEFONICA</t>
        </is>
      </c>
      <c r="B66" t="n">
        <v>2020</v>
      </c>
      <c r="C66" t="inlineStr">
        <is>
          <t>Communications</t>
        </is>
      </c>
      <c r="D66" t="inlineStr">
        <is>
          <t>ESP</t>
        </is>
      </c>
      <c r="E66" t="inlineStr">
        <is>
          <t>Spain</t>
        </is>
      </c>
      <c r="F66" t="inlineStr">
        <is>
          <t>DEU</t>
        </is>
      </c>
      <c r="G66" t="inlineStr">
        <is>
          <t>Germany</t>
        </is>
      </c>
      <c r="H66" t="n">
        <v>8251000000</v>
      </c>
      <c r="I66" t="n">
        <v>318000000</v>
      </c>
      <c r="J66" t="n">
        <v>52000000</v>
      </c>
      <c r="K66" t="n">
        <v>7980</v>
      </c>
      <c r="L66" t="n">
        <v>4073000000</v>
      </c>
      <c r="M66" t="n">
        <v>-175000000</v>
      </c>
      <c r="N66" t="n">
        <v>8183000000</v>
      </c>
      <c r="O66" t="n">
        <v>68000000</v>
      </c>
      <c r="P66" t="inlineStr"/>
      <c r="Q66" t="inlineStr"/>
      <c r="R66" t="inlineStr">
        <is>
          <t>EUR</t>
        </is>
      </c>
      <c r="S66" t="n">
        <v>0.1635220125786163</v>
      </c>
      <c r="T66" t="n">
        <v>19.57756194074445</v>
      </c>
      <c r="U66" t="n">
        <v>0.02673944859776116</v>
      </c>
    </row>
    <row r="67">
      <c r="A67" t="inlineStr">
        <is>
          <t>TELEFONICA</t>
        </is>
      </c>
      <c r="B67" t="n">
        <v>2021</v>
      </c>
      <c r="C67" t="inlineStr">
        <is>
          <t>Communications</t>
        </is>
      </c>
      <c r="D67" t="inlineStr">
        <is>
          <t>ESP</t>
        </is>
      </c>
      <c r="E67" t="inlineStr">
        <is>
          <t>Spain</t>
        </is>
      </c>
      <c r="F67" t="inlineStr">
        <is>
          <t>DEU</t>
        </is>
      </c>
      <c r="G67" t="inlineStr">
        <is>
          <t>Germany</t>
        </is>
      </c>
      <c r="H67" t="n">
        <v>8711000000</v>
      </c>
      <c r="I67" t="n">
        <v>663000000</v>
      </c>
      <c r="J67" t="n">
        <v>54000000</v>
      </c>
      <c r="K67" t="n">
        <v>7576</v>
      </c>
      <c r="L67" t="n">
        <v>3492000000</v>
      </c>
      <c r="M67" t="n">
        <v>41000000</v>
      </c>
      <c r="N67" t="n">
        <v>8642000000</v>
      </c>
      <c r="O67" t="n">
        <v>69000000</v>
      </c>
      <c r="P67" t="inlineStr"/>
      <c r="Q67" t="inlineStr"/>
      <c r="R67" t="inlineStr">
        <is>
          <t>EUR</t>
        </is>
      </c>
      <c r="S67" t="n">
        <v>0.08144796380090498</v>
      </c>
      <c r="T67" t="n">
        <v>20.31228554815014</v>
      </c>
      <c r="U67" t="n">
        <v>0.006633770807313528</v>
      </c>
    </row>
    <row r="68">
      <c r="A68" t="inlineStr">
        <is>
          <t>TOTALENERGIES</t>
        </is>
      </c>
      <c r="B68" t="n">
        <v>2019</v>
      </c>
      <c r="C68" t="inlineStr">
        <is>
          <t>Oil, Gas and Mining</t>
        </is>
      </c>
      <c r="D68" t="inlineStr">
        <is>
          <t>FRA</t>
        </is>
      </c>
      <c r="E68" t="inlineStr">
        <is>
          <t>France</t>
        </is>
      </c>
      <c r="F68" t="inlineStr">
        <is>
          <t>DEU</t>
        </is>
      </c>
      <c r="G68" t="inlineStr">
        <is>
          <t>Germany</t>
        </is>
      </c>
      <c r="H68" t="n">
        <v>33669495310.4064</v>
      </c>
      <c r="I68" t="n">
        <v>439104064.314426</v>
      </c>
      <c r="J68" t="n">
        <v>86516301.9205002</v>
      </c>
      <c r="K68" t="n">
        <v>3993</v>
      </c>
      <c r="L68" t="n">
        <v>1482617239.83921</v>
      </c>
      <c r="M68" t="n">
        <v>89255917.8204556</v>
      </c>
      <c r="N68" t="n">
        <v>16672727110.3171</v>
      </c>
      <c r="O68" t="n">
        <v>16996768200.0893</v>
      </c>
      <c r="P68" t="n">
        <v>961637338.097365</v>
      </c>
      <c r="Q68" t="n">
        <v>2765655203.21572</v>
      </c>
      <c r="R68" t="inlineStr">
        <is>
          <t>EUR</t>
        </is>
      </c>
      <c r="S68" t="n">
        <v>0.1970291531133475</v>
      </c>
      <c r="T68" t="n">
        <v>19.9002469915001</v>
      </c>
      <c r="U68" t="n">
        <v>0.03882048717656292</v>
      </c>
    </row>
    <row r="69">
      <c r="A69" t="inlineStr">
        <is>
          <t>TOTALENERGIES</t>
        </is>
      </c>
      <c r="B69" t="n">
        <v>2021</v>
      </c>
      <c r="C69" t="inlineStr">
        <is>
          <t>Oil, Gas and Mining</t>
        </is>
      </c>
      <c r="D69" t="inlineStr">
        <is>
          <t>FRA</t>
        </is>
      </c>
      <c r="E69" t="inlineStr">
        <is>
          <t>France</t>
        </is>
      </c>
      <c r="F69" t="inlineStr">
        <is>
          <t>DEU</t>
        </is>
      </c>
      <c r="G69" t="inlineStr">
        <is>
          <t>Germany</t>
        </is>
      </c>
      <c r="H69" t="n">
        <v>29059930667.1176</v>
      </c>
      <c r="I69" t="n">
        <v>266117358.586286</v>
      </c>
      <c r="J69" t="n">
        <v>53533440.4329078</v>
      </c>
      <c r="K69" t="n">
        <v>4663</v>
      </c>
      <c r="L69" t="n">
        <v>1641984442.37761</v>
      </c>
      <c r="M69" t="n">
        <v>66963727.0651898</v>
      </c>
      <c r="N69" t="n">
        <v>14662590682.337</v>
      </c>
      <c r="O69" t="n">
        <v>14397339984.7806</v>
      </c>
      <c r="P69" t="n">
        <v>915843409.148558</v>
      </c>
      <c r="Q69" t="n">
        <v>1768784137.98935</v>
      </c>
      <c r="R69" t="inlineStr">
        <is>
          <t>EUR</t>
        </is>
      </c>
      <c r="S69" t="n">
        <v>0.2011647820243567</v>
      </c>
      <c r="T69" t="n">
        <v>19.39944796713969</v>
      </c>
      <c r="U69" t="n">
        <v>0.04046726952690696</v>
      </c>
    </row>
    <row r="70">
      <c r="A70" t="inlineStr">
        <is>
          <t>VODAFONE</t>
        </is>
      </c>
      <c r="B70" t="n">
        <v>2018</v>
      </c>
      <c r="C70" t="inlineStr">
        <is>
          <t>Communications</t>
        </is>
      </c>
      <c r="D70" t="inlineStr">
        <is>
          <t>GBR</t>
        </is>
      </c>
      <c r="E70" t="inlineStr">
        <is>
          <t>United Kingdom</t>
        </is>
      </c>
      <c r="F70" t="inlineStr">
        <is>
          <t>DEU</t>
        </is>
      </c>
      <c r="G70" t="inlineStr">
        <is>
          <t>Germany</t>
        </is>
      </c>
      <c r="H70" t="n">
        <v>11577213742</v>
      </c>
      <c r="I70" t="n">
        <v>387465539</v>
      </c>
      <c r="J70" t="n">
        <v>86589439</v>
      </c>
      <c r="K70" t="n">
        <v>14946</v>
      </c>
      <c r="L70" t="n">
        <v>7744146631</v>
      </c>
      <c r="M70" t="n">
        <v>117677243</v>
      </c>
      <c r="N70" t="n">
        <v>10933178838</v>
      </c>
      <c r="O70" t="n">
        <v>644034904</v>
      </c>
      <c r="P70" t="n">
        <v>4478357622</v>
      </c>
      <c r="Q70" t="n">
        <v>-12950578874</v>
      </c>
      <c r="R70" t="inlineStr">
        <is>
          <t>EUR</t>
        </is>
      </c>
      <c r="S70" t="n">
        <v>0.2234764908989751</v>
      </c>
      <c r="T70" t="n">
        <v>19.77513747119012</v>
      </c>
      <c r="U70" t="n">
        <v>0.04994174198451972</v>
      </c>
    </row>
    <row r="71">
      <c r="A71" t="inlineStr">
        <is>
          <t>YARA</t>
        </is>
      </c>
      <c r="B71" t="n">
        <v>2021</v>
      </c>
      <c r="C71" t="inlineStr">
        <is>
          <t>Chemicals, Cosmetics and Paints</t>
        </is>
      </c>
      <c r="D71" t="inlineStr">
        <is>
          <t>NOR</t>
        </is>
      </c>
      <c r="E71" t="inlineStr">
        <is>
          <t>Norway</t>
        </is>
      </c>
      <c r="F71" t="inlineStr">
        <is>
          <t>DEU</t>
        </is>
      </c>
      <c r="G71" t="inlineStr">
        <is>
          <t>Germany</t>
        </is>
      </c>
      <c r="H71" t="n">
        <v>1140610467.57419</v>
      </c>
      <c r="I71" t="n">
        <v>211380738.987063</v>
      </c>
      <c r="J71" t="n">
        <v>59186606.9163778</v>
      </c>
      <c r="K71" t="n">
        <v>883</v>
      </c>
      <c r="L71" t="inlineStr"/>
      <c r="M71" t="n">
        <v>10991798.4273273</v>
      </c>
      <c r="N71" t="inlineStr"/>
      <c r="O71" t="inlineStr"/>
      <c r="P71" t="inlineStr"/>
      <c r="Q71" t="n">
        <v>230827766.973873</v>
      </c>
      <c r="R71" t="inlineStr">
        <is>
          <t>EUR</t>
        </is>
      </c>
      <c r="S71" t="n">
        <v>0.2800000000000007</v>
      </c>
      <c r="T71" t="n">
        <v>19.16917151555158</v>
      </c>
      <c r="U71" t="n">
        <v>0.07840000000000041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  <c r="V1" s="1" t="inlineStr">
        <is>
          <t>ln_employees</t>
        </is>
      </c>
      <c r="W1" s="1" t="inlineStr">
        <is>
          <t>ln_tangible_assets</t>
        </is>
      </c>
      <c r="X1" s="1" t="inlineStr">
        <is>
          <t>ln_related_revenues</t>
        </is>
      </c>
    </row>
    <row r="2">
      <c r="A2" t="inlineStr">
        <is>
          <t>ANGLO AMERICAN</t>
        </is>
      </c>
      <c r="B2" t="n">
        <v>2018</v>
      </c>
      <c r="C2" t="inlineStr">
        <is>
          <t>Oil, Gas and Mining</t>
        </is>
      </c>
      <c r="D2" t="inlineStr">
        <is>
          <t>GBR</t>
        </is>
      </c>
      <c r="E2" t="inlineStr">
        <is>
          <t>United Kingdom</t>
        </is>
      </c>
      <c r="F2" t="inlineStr">
        <is>
          <t>DEU</t>
        </is>
      </c>
      <c r="G2" t="inlineStr">
        <is>
          <t>Germany</t>
        </is>
      </c>
      <c r="H2" t="n">
        <v>73755453.00592721</v>
      </c>
      <c r="I2" t="n">
        <v>4840286.19813717</v>
      </c>
      <c r="J2" t="n">
        <v>733981.371718882</v>
      </c>
      <c r="K2" t="n">
        <v>306</v>
      </c>
      <c r="L2" t="n">
        <v>27671773.0736664</v>
      </c>
      <c r="M2" t="n">
        <v>1374700.25402202</v>
      </c>
      <c r="N2" t="n">
        <v>68198905.1651143</v>
      </c>
      <c r="O2" t="n">
        <v>5556547.84081287</v>
      </c>
      <c r="P2" t="n">
        <v>25669592.7180356</v>
      </c>
      <c r="Q2" t="n">
        <v>-16634852.6672312</v>
      </c>
      <c r="R2" t="inlineStr">
        <is>
          <t>EUR</t>
        </is>
      </c>
      <c r="S2" t="n">
        <v>0.1516400769858116</v>
      </c>
      <c r="T2" t="n">
        <v>15.39248440879112</v>
      </c>
      <c r="U2" t="n">
        <v>0.02299471294826288</v>
      </c>
      <c r="V2" t="n">
        <v>5.723585101952381</v>
      </c>
      <c r="W2" t="n">
        <v>17.13592342898971</v>
      </c>
      <c r="X2" t="n">
        <v>15.53048758145341</v>
      </c>
    </row>
    <row r="3">
      <c r="A3" t="inlineStr">
        <is>
          <t>ANGLO AMERICAN</t>
        </is>
      </c>
      <c r="B3" t="n">
        <v>2019</v>
      </c>
      <c r="C3" t="inlineStr">
        <is>
          <t>Oil, Gas and Mining</t>
        </is>
      </c>
      <c r="D3" t="inlineStr">
        <is>
          <t>GBR</t>
        </is>
      </c>
      <c r="E3" t="inlineStr">
        <is>
          <t>United Kingdom</t>
        </is>
      </c>
      <c r="F3" t="inlineStr">
        <is>
          <t>DEU</t>
        </is>
      </c>
      <c r="G3" t="inlineStr">
        <is>
          <t>Germany</t>
        </is>
      </c>
      <c r="H3" t="n">
        <v>71554278.69584639</v>
      </c>
      <c r="I3" t="n">
        <v>4125112.9968736</v>
      </c>
      <c r="J3" t="n">
        <v>1108326.03841</v>
      </c>
      <c r="K3" t="n">
        <v>371</v>
      </c>
      <c r="L3" t="n">
        <v>29189007.5926753</v>
      </c>
      <c r="M3" t="n">
        <v>1229036.17686467</v>
      </c>
      <c r="N3" t="n">
        <v>66753826.7083519</v>
      </c>
      <c r="O3" t="n">
        <v>4800451.98749442</v>
      </c>
      <c r="P3" t="n">
        <v>27079757.9276463</v>
      </c>
      <c r="Q3" t="n">
        <v>-10359847.2532381</v>
      </c>
      <c r="R3" t="inlineStr">
        <is>
          <t>EUR</t>
        </is>
      </c>
      <c r="S3" t="n">
        <v>0.2686777402825072</v>
      </c>
      <c r="T3" t="n">
        <v>15.23260397055721</v>
      </c>
      <c r="U3" t="n">
        <v>0.07218772812331438</v>
      </c>
      <c r="V3" t="n">
        <v>5.916202062607435</v>
      </c>
      <c r="W3" t="n">
        <v>17.18930274405691</v>
      </c>
      <c r="X3" t="n">
        <v>15.3842206355063</v>
      </c>
    </row>
    <row r="4">
      <c r="A4" t="inlineStr">
        <is>
          <t>ANGLO AMERICAN</t>
        </is>
      </c>
      <c r="B4" t="n">
        <v>2020</v>
      </c>
      <c r="C4" t="inlineStr">
        <is>
          <t>Oil, Gas and Mining</t>
        </is>
      </c>
      <c r="D4" t="inlineStr">
        <is>
          <t>GBR</t>
        </is>
      </c>
      <c r="E4" t="inlineStr">
        <is>
          <t>United Kingdom</t>
        </is>
      </c>
      <c r="F4" t="inlineStr">
        <is>
          <t>DEU</t>
        </is>
      </c>
      <c r="G4" t="inlineStr">
        <is>
          <t>Germany</t>
        </is>
      </c>
      <c r="H4" t="n">
        <v>75174390.6496235</v>
      </c>
      <c r="I4" t="n">
        <v>7972561.72299072</v>
      </c>
      <c r="J4" t="n">
        <v>1205961.30274908</v>
      </c>
      <c r="K4" t="n">
        <v>354</v>
      </c>
      <c r="L4" t="n">
        <v>32713429.3468744</v>
      </c>
      <c r="M4" t="n">
        <v>2154587.63789179</v>
      </c>
      <c r="N4" t="n">
        <v>71673191.20994569</v>
      </c>
      <c r="O4" t="n">
        <v>3501199.43967781</v>
      </c>
      <c r="P4" t="n">
        <v>26541576.7816494</v>
      </c>
      <c r="Q4" t="n">
        <v>-16689655.0516547</v>
      </c>
      <c r="R4" t="inlineStr">
        <is>
          <t>EUR</t>
        </is>
      </c>
      <c r="S4" t="n">
        <v>0.1512639656675736</v>
      </c>
      <c r="T4" t="n">
        <v>15.8915164198233</v>
      </c>
      <c r="U4" t="n">
        <v>0.0228807873094809</v>
      </c>
      <c r="V4" t="n">
        <v>5.869296913133774</v>
      </c>
      <c r="W4" t="n">
        <v>17.30329623495079</v>
      </c>
      <c r="X4" t="n">
        <v>15.06861616480322</v>
      </c>
    </row>
    <row r="5">
      <c r="A5" t="inlineStr">
        <is>
          <t>ANGLO AMERICAN</t>
        </is>
      </c>
      <c r="B5" t="n">
        <v>2021</v>
      </c>
      <c r="C5" t="inlineStr">
        <is>
          <t>Oil, Gas and Mining</t>
        </is>
      </c>
      <c r="D5" t="inlineStr">
        <is>
          <t>GBR</t>
        </is>
      </c>
      <c r="E5" t="inlineStr">
        <is>
          <t>United Kingdom</t>
        </is>
      </c>
      <c r="F5" t="inlineStr">
        <is>
          <t>DEU</t>
        </is>
      </c>
      <c r="G5" t="inlineStr">
        <is>
          <t>Germany</t>
        </is>
      </c>
      <c r="H5" t="n">
        <v>87380003.38209181</v>
      </c>
      <c r="I5" t="n">
        <v>10910811.7020377</v>
      </c>
      <c r="J5" t="n">
        <v>2289207.74499028</v>
      </c>
      <c r="K5" t="n">
        <v>338</v>
      </c>
      <c r="L5" t="n">
        <v>33856792.0859051</v>
      </c>
      <c r="M5" t="n">
        <v>3407040.66965418</v>
      </c>
      <c r="N5" t="n">
        <v>82078949.8604887</v>
      </c>
      <c r="O5" t="n">
        <v>5301053.52160311</v>
      </c>
      <c r="P5" t="n">
        <v>25632695.5271836</v>
      </c>
      <c r="Q5" t="n">
        <v>-24054006.9332882</v>
      </c>
      <c r="R5" t="inlineStr">
        <is>
          <t>EUR</t>
        </is>
      </c>
      <c r="S5" t="n">
        <v>0.2098109478475143</v>
      </c>
      <c r="T5" t="n">
        <v>16.20526475486186</v>
      </c>
      <c r="U5" t="n">
        <v>0.04402063383667235</v>
      </c>
      <c r="V5" t="n">
        <v>5.823045895483019</v>
      </c>
      <c r="W5" t="n">
        <v>17.33765018965851</v>
      </c>
      <c r="X5" t="n">
        <v>15.48341613642965</v>
      </c>
    </row>
    <row r="6">
      <c r="A6" t="inlineStr">
        <is>
          <t>AXA</t>
        </is>
      </c>
      <c r="B6" t="n">
        <v>2021</v>
      </c>
      <c r="C6" t="inlineStr">
        <is>
          <t>Business and Financial Services</t>
        </is>
      </c>
      <c r="D6" t="inlineStr">
        <is>
          <t>FRA</t>
        </is>
      </c>
      <c r="E6" t="inlineStr">
        <is>
          <t>France</t>
        </is>
      </c>
      <c r="F6" t="inlineStr">
        <is>
          <t>DEU</t>
        </is>
      </c>
      <c r="G6" t="inlineStr">
        <is>
          <t>Germany</t>
        </is>
      </c>
      <c r="H6" t="n">
        <v>12824479000</v>
      </c>
      <c r="I6" t="n">
        <v>1064479000</v>
      </c>
      <c r="J6" t="n">
        <v>223338000</v>
      </c>
      <c r="K6" t="n">
        <v>9421</v>
      </c>
      <c r="L6" t="n">
        <v>377229000</v>
      </c>
      <c r="M6" t="n">
        <v>238612000</v>
      </c>
      <c r="N6" t="n">
        <v>12439250000</v>
      </c>
      <c r="O6" t="n">
        <v>385229000</v>
      </c>
      <c r="P6" t="n">
        <v>494996000</v>
      </c>
      <c r="Q6" t="n">
        <v>2651074000</v>
      </c>
      <c r="R6" t="inlineStr">
        <is>
          <t>EUR</t>
        </is>
      </c>
      <c r="S6" t="n">
        <v>0.2098096815437411</v>
      </c>
      <c r="T6" t="n">
        <v>20.78575131453159</v>
      </c>
      <c r="U6" t="n">
        <v>0.04402010246948606</v>
      </c>
      <c r="V6" t="n">
        <v>9.150696519048667</v>
      </c>
      <c r="W6" t="n">
        <v>19.74836298805885</v>
      </c>
      <c r="X6" t="n">
        <v>19.76934852062037</v>
      </c>
    </row>
    <row r="7">
      <c r="A7" t="inlineStr">
        <is>
          <t>BUZZI UNICEM</t>
        </is>
      </c>
      <c r="B7" t="n">
        <v>2020</v>
      </c>
      <c r="C7" t="inlineStr">
        <is>
          <t>Metals and Cement</t>
        </is>
      </c>
      <c r="D7" t="inlineStr">
        <is>
          <t>ITA</t>
        </is>
      </c>
      <c r="E7" t="inlineStr">
        <is>
          <t>Italy</t>
        </is>
      </c>
      <c r="F7" t="inlineStr">
        <is>
          <t>DEU</t>
        </is>
      </c>
      <c r="G7" t="inlineStr">
        <is>
          <t>Germany</t>
        </is>
      </c>
      <c r="H7" t="n">
        <v>893598865</v>
      </c>
      <c r="I7" t="n">
        <v>282228120</v>
      </c>
      <c r="J7" t="n">
        <v>9846088</v>
      </c>
      <c r="K7" t="n">
        <v>1778</v>
      </c>
      <c r="L7" t="n">
        <v>410355777</v>
      </c>
      <c r="M7" t="n">
        <v>16550095</v>
      </c>
      <c r="N7" t="n">
        <v>752949260</v>
      </c>
      <c r="O7" t="n">
        <v>140649605</v>
      </c>
      <c r="P7" t="n">
        <v>140150012</v>
      </c>
      <c r="Q7" t="n">
        <v>143428997</v>
      </c>
      <c r="R7" t="inlineStr">
        <is>
          <t>EUR</t>
        </is>
      </c>
      <c r="S7" t="n">
        <v>0.03488698433026447</v>
      </c>
      <c r="T7" t="n">
        <v>19.45822623806008</v>
      </c>
      <c r="U7" t="n">
        <v>0.001217101675660119</v>
      </c>
      <c r="V7" t="n">
        <v>7.48324441607385</v>
      </c>
      <c r="W7" t="n">
        <v>19.8325350901668</v>
      </c>
      <c r="X7" t="n">
        <v>18.76178228450658</v>
      </c>
    </row>
    <row r="8">
      <c r="A8" t="inlineStr">
        <is>
          <t>BUZZI UNICEM</t>
        </is>
      </c>
      <c r="B8" t="n">
        <v>2021</v>
      </c>
      <c r="C8" t="inlineStr">
        <is>
          <t>Metals and Cement</t>
        </is>
      </c>
      <c r="D8" t="inlineStr">
        <is>
          <t>ITA</t>
        </is>
      </c>
      <c r="E8" t="inlineStr">
        <is>
          <t>Italy</t>
        </is>
      </c>
      <c r="F8" t="inlineStr">
        <is>
          <t>DEU</t>
        </is>
      </c>
      <c r="G8" t="inlineStr">
        <is>
          <t>Germany</t>
        </is>
      </c>
      <c r="H8" t="n">
        <v>864577406</v>
      </c>
      <c r="I8" t="n">
        <v>212596255</v>
      </c>
      <c r="J8" t="n">
        <v>33070034</v>
      </c>
      <c r="K8" t="n">
        <v>1770</v>
      </c>
      <c r="L8" t="n">
        <v>416678258</v>
      </c>
      <c r="M8" t="n">
        <v>24887443</v>
      </c>
      <c r="N8" t="n">
        <v>747231640</v>
      </c>
      <c r="O8" t="n">
        <v>117345766</v>
      </c>
      <c r="P8" t="n">
        <v>133655862</v>
      </c>
      <c r="Q8" t="n">
        <v>143699952</v>
      </c>
      <c r="R8" t="inlineStr">
        <is>
          <t>EUR</t>
        </is>
      </c>
      <c r="S8" t="n">
        <v>0.1555532292890107</v>
      </c>
      <c r="T8" t="n">
        <v>19.17490540847708</v>
      </c>
      <c r="U8" t="n">
        <v>0.02419680714223955</v>
      </c>
      <c r="V8" t="n">
        <v>7.478734825567875</v>
      </c>
      <c r="W8" t="n">
        <v>19.84782491840556</v>
      </c>
      <c r="X8" t="n">
        <v>18.58063539950815</v>
      </c>
    </row>
    <row r="9">
      <c r="A9" t="inlineStr">
        <is>
          <t>CEMBRE</t>
        </is>
      </c>
      <c r="B9" t="n">
        <v>2020</v>
      </c>
      <c r="C9" t="inlineStr">
        <is>
          <t>Industrial, Electric and Electronic Machinery</t>
        </is>
      </c>
      <c r="D9" t="inlineStr">
        <is>
          <t>ITA</t>
        </is>
      </c>
      <c r="E9" t="inlineStr">
        <is>
          <t>Italy</t>
        </is>
      </c>
      <c r="F9" t="inlineStr">
        <is>
          <t>DEU</t>
        </is>
      </c>
      <c r="G9" t="inlineStr">
        <is>
          <t>Germany</t>
        </is>
      </c>
      <c r="H9" t="n">
        <v>15662000</v>
      </c>
      <c r="I9" t="n">
        <v>380000</v>
      </c>
      <c r="J9" t="n">
        <v>155000</v>
      </c>
      <c r="K9" t="n">
        <v>58</v>
      </c>
      <c r="L9" t="n">
        <v>2822000</v>
      </c>
      <c r="M9" t="n">
        <v>8000</v>
      </c>
      <c r="N9" t="n">
        <v>15587000</v>
      </c>
      <c r="O9" t="n">
        <v>75000</v>
      </c>
      <c r="P9" t="inlineStr"/>
      <c r="Q9" t="inlineStr"/>
      <c r="R9" t="inlineStr">
        <is>
          <t>EUR</t>
        </is>
      </c>
      <c r="S9" t="n">
        <v>0.4078947368421053</v>
      </c>
      <c r="T9" t="n">
        <v>12.84792653170257</v>
      </c>
      <c r="U9" t="n">
        <v>0.1663781163434903</v>
      </c>
      <c r="V9" t="n">
        <v>4.060443010546419</v>
      </c>
      <c r="W9" t="n">
        <v>14.8529564113949</v>
      </c>
      <c r="X9" t="n">
        <v>11.22524339251845</v>
      </c>
    </row>
    <row r="10">
      <c r="A10" t="inlineStr">
        <is>
          <t>CEMBRE</t>
        </is>
      </c>
      <c r="B10" t="n">
        <v>2021</v>
      </c>
      <c r="C10" t="inlineStr">
        <is>
          <t>Industrial, Electric and Electronic Machinery</t>
        </is>
      </c>
      <c r="D10" t="inlineStr">
        <is>
          <t>ITA</t>
        </is>
      </c>
      <c r="E10" t="inlineStr">
        <is>
          <t>Italy</t>
        </is>
      </c>
      <c r="F10" t="inlineStr">
        <is>
          <t>DEU</t>
        </is>
      </c>
      <c r="G10" t="inlineStr">
        <is>
          <t>Germany</t>
        </is>
      </c>
      <c r="H10" t="n">
        <v>19003000</v>
      </c>
      <c r="I10" t="n">
        <v>1554000</v>
      </c>
      <c r="J10" t="n">
        <v>82000</v>
      </c>
      <c r="K10" t="n">
        <v>56</v>
      </c>
      <c r="L10" t="n">
        <v>2736000</v>
      </c>
      <c r="M10" t="n">
        <v>208000</v>
      </c>
      <c r="N10" t="n">
        <v>18875000</v>
      </c>
      <c r="O10" t="n">
        <v>128000</v>
      </c>
      <c r="P10" t="inlineStr"/>
      <c r="Q10" t="inlineStr"/>
      <c r="R10" t="inlineStr">
        <is>
          <t>EUR</t>
        </is>
      </c>
      <c r="S10" t="n">
        <v>0.05276705276705277</v>
      </c>
      <c r="T10" t="n">
        <v>14.25634280990973</v>
      </c>
      <c r="U10" t="n">
        <v>0.002784361857720932</v>
      </c>
      <c r="V10" t="n">
        <v>4.02535169073515</v>
      </c>
      <c r="W10" t="n">
        <v>14.82200755772458</v>
      </c>
      <c r="X10" t="n">
        <v>11.75978554290175</v>
      </c>
    </row>
    <row r="11">
      <c r="A11" t="inlineStr">
        <is>
          <t>CYIENT</t>
        </is>
      </c>
      <c r="B11" t="n">
        <v>2021</v>
      </c>
      <c r="C11" t="inlineStr">
        <is>
          <t>Business and Financial Services</t>
        </is>
      </c>
      <c r="D11" t="inlineStr">
        <is>
          <t>IND</t>
        </is>
      </c>
      <c r="E11" t="inlineStr">
        <is>
          <t>India</t>
        </is>
      </c>
      <c r="F11" t="inlineStr">
        <is>
          <t>DEU</t>
        </is>
      </c>
      <c r="G11" t="inlineStr">
        <is>
          <t>Germany</t>
        </is>
      </c>
      <c r="H11" t="n">
        <v>16125490.6266297</v>
      </c>
      <c r="I11" t="n">
        <v>686191.090494881</v>
      </c>
      <c r="J11" t="n">
        <v>205857.327148464</v>
      </c>
      <c r="K11" t="n">
        <v>57</v>
      </c>
      <c r="L11" t="n">
        <v>2538907.03483106</v>
      </c>
      <c r="M11" t="n">
        <v>228730.363498294</v>
      </c>
      <c r="N11" t="n">
        <v>11356462.5476903</v>
      </c>
      <c r="O11" t="n">
        <v>4769028.07893942</v>
      </c>
      <c r="P11" t="n">
        <v>583262.426920649</v>
      </c>
      <c r="Q11" t="n">
        <v>17028975.562448</v>
      </c>
      <c r="R11" t="inlineStr">
        <is>
          <t>EUR</t>
        </is>
      </c>
      <c r="S11" t="n">
        <v>0.2999999999999995</v>
      </c>
      <c r="T11" t="n">
        <v>13.43891142549078</v>
      </c>
      <c r="U11" t="n">
        <v>0.08999999999999973</v>
      </c>
      <c r="V11" t="n">
        <v>4.04305126783455</v>
      </c>
      <c r="W11" t="n">
        <v>14.74724424514096</v>
      </c>
      <c r="X11" t="n">
        <v>15.37765308506748</v>
      </c>
    </row>
    <row r="12">
      <c r="A12" t="inlineStr">
        <is>
          <t>DIASORIN</t>
        </is>
      </c>
      <c r="B12" t="n">
        <v>2021</v>
      </c>
      <c r="C12" t="inlineStr">
        <is>
          <t>Biomedical</t>
        </is>
      </c>
      <c r="D12" t="inlineStr">
        <is>
          <t>ITA</t>
        </is>
      </c>
      <c r="E12" t="inlineStr">
        <is>
          <t>Italy</t>
        </is>
      </c>
      <c r="F12" t="inlineStr">
        <is>
          <t>DEU</t>
        </is>
      </c>
      <c r="G12" t="inlineStr">
        <is>
          <t>Germany</t>
        </is>
      </c>
      <c r="H12" t="n">
        <v>85246000</v>
      </c>
      <c r="I12" t="n">
        <v>4402000</v>
      </c>
      <c r="J12" t="n">
        <v>949000</v>
      </c>
      <c r="K12" t="n">
        <v>187</v>
      </c>
      <c r="L12" t="n">
        <v>18152000</v>
      </c>
      <c r="M12" t="n">
        <v>1296000</v>
      </c>
      <c r="N12" t="n">
        <v>62725000</v>
      </c>
      <c r="O12" t="n">
        <v>22521000</v>
      </c>
      <c r="P12" t="inlineStr"/>
      <c r="Q12" t="inlineStr"/>
      <c r="R12" t="inlineStr">
        <is>
          <t>EUR</t>
        </is>
      </c>
      <c r="S12" t="n">
        <v>0.2155838255338483</v>
      </c>
      <c r="T12" t="n">
        <v>15.29756954106854</v>
      </c>
      <c r="U12" t="n">
        <v>0.04647638583180872</v>
      </c>
      <c r="V12" t="n">
        <v>5.231108616854587</v>
      </c>
      <c r="W12" t="n">
        <v>16.71429130544182</v>
      </c>
      <c r="X12" t="n">
        <v>16.92995876522325</v>
      </c>
    </row>
    <row r="13">
      <c r="A13" t="inlineStr">
        <is>
          <t>ENEL</t>
        </is>
      </c>
      <c r="B13" t="n">
        <v>2020</v>
      </c>
      <c r="C13" t="inlineStr">
        <is>
          <t>Utilities</t>
        </is>
      </c>
      <c r="D13" t="inlineStr">
        <is>
          <t>ITA</t>
        </is>
      </c>
      <c r="E13" t="inlineStr">
        <is>
          <t>Italy</t>
        </is>
      </c>
      <c r="F13" t="inlineStr">
        <is>
          <t>DEU</t>
        </is>
      </c>
      <c r="G13" t="inlineStr">
        <is>
          <t>Germany</t>
        </is>
      </c>
      <c r="H13" t="n">
        <v>260300000</v>
      </c>
      <c r="I13" t="n">
        <v>19900000</v>
      </c>
      <c r="J13" t="n">
        <v>300000</v>
      </c>
      <c r="K13" t="n">
        <v>23</v>
      </c>
      <c r="L13" t="n">
        <v>700000</v>
      </c>
      <c r="M13" t="n">
        <v>900000</v>
      </c>
      <c r="N13" t="n">
        <v>223200000</v>
      </c>
      <c r="O13" t="n">
        <v>37100000</v>
      </c>
      <c r="P13" t="inlineStr"/>
      <c r="Q13" t="inlineStr"/>
      <c r="R13" t="inlineStr">
        <is>
          <t>EUR</t>
        </is>
      </c>
      <c r="S13" t="n">
        <v>0.01507537688442211</v>
      </c>
      <c r="T13" t="n">
        <v>16.80623028969472</v>
      </c>
      <c r="U13" t="n">
        <v>0.0002272669882073685</v>
      </c>
      <c r="V13" t="n">
        <v>3.13549421592915</v>
      </c>
      <c r="W13" t="n">
        <v>13.45883561402554</v>
      </c>
      <c r="X13" t="n">
        <v>17.42912752757766</v>
      </c>
    </row>
    <row r="14">
      <c r="A14" t="inlineStr">
        <is>
          <t>ENI</t>
        </is>
      </c>
      <c r="B14" t="n">
        <v>2017</v>
      </c>
      <c r="C14" t="inlineStr">
        <is>
          <t>Oil, Gas and Mining</t>
        </is>
      </c>
      <c r="D14" t="inlineStr">
        <is>
          <t>ITA</t>
        </is>
      </c>
      <c r="E14" t="inlineStr">
        <is>
          <t>Italy</t>
        </is>
      </c>
      <c r="F14" t="inlineStr">
        <is>
          <t>DEU</t>
        </is>
      </c>
      <c r="G14" t="inlineStr">
        <is>
          <t>Germany</t>
        </is>
      </c>
      <c r="H14" t="n">
        <v>4581842000</v>
      </c>
      <c r="I14" t="n">
        <v>109645000</v>
      </c>
      <c r="J14" t="n">
        <v>31557000</v>
      </c>
      <c r="K14" t="n">
        <v>552</v>
      </c>
      <c r="L14" t="n">
        <v>363912000</v>
      </c>
      <c r="M14" t="n">
        <v>34410000</v>
      </c>
      <c r="N14" t="n">
        <v>4121390000</v>
      </c>
      <c r="O14" t="n">
        <v>460452000</v>
      </c>
      <c r="P14" t="n">
        <v>94145000</v>
      </c>
      <c r="Q14" t="n">
        <v>74923000</v>
      </c>
      <c r="R14" t="inlineStr">
        <is>
          <t>EUR</t>
        </is>
      </c>
      <c r="S14" t="n">
        <v>0.2878106616808792</v>
      </c>
      <c r="T14" t="n">
        <v>18.51275843215327</v>
      </c>
      <c r="U14" t="n">
        <v>0.08283497697718552</v>
      </c>
      <c r="V14" t="n">
        <v>6.313548046277095</v>
      </c>
      <c r="W14" t="n">
        <v>19.71242263813102</v>
      </c>
      <c r="X14" t="n">
        <v>19.94771917369915</v>
      </c>
    </row>
    <row r="15">
      <c r="A15" t="inlineStr">
        <is>
          <t>ENI</t>
        </is>
      </c>
      <c r="B15" t="n">
        <v>2018</v>
      </c>
      <c r="C15" t="inlineStr">
        <is>
          <t>Oil, Gas and Mining</t>
        </is>
      </c>
      <c r="D15" t="inlineStr">
        <is>
          <t>ITA</t>
        </is>
      </c>
      <c r="E15" t="inlineStr">
        <is>
          <t>Italy</t>
        </is>
      </c>
      <c r="F15" t="inlineStr">
        <is>
          <t>DEU</t>
        </is>
      </c>
      <c r="G15" t="inlineStr">
        <is>
          <t>Germany</t>
        </is>
      </c>
      <c r="H15" t="n">
        <v>2716743000</v>
      </c>
      <c r="I15" t="n">
        <v>119618000</v>
      </c>
      <c r="J15" t="n">
        <v>48300000</v>
      </c>
      <c r="K15" t="n">
        <v>537</v>
      </c>
      <c r="L15" t="n">
        <v>375949000</v>
      </c>
      <c r="M15" t="n">
        <v>40798000</v>
      </c>
      <c r="N15" t="n">
        <v>2445724000</v>
      </c>
      <c r="O15" t="n">
        <v>271019000</v>
      </c>
      <c r="P15" t="n">
        <v>94145000</v>
      </c>
      <c r="Q15" t="n">
        <v>78231000</v>
      </c>
      <c r="R15" t="inlineStr">
        <is>
          <t>EUR</t>
        </is>
      </c>
      <c r="S15" t="n">
        <v>0.4037853834707151</v>
      </c>
      <c r="T15" t="n">
        <v>18.59981388982881</v>
      </c>
      <c r="U15" t="n">
        <v>0.1630426359045925</v>
      </c>
      <c r="V15" t="n">
        <v>6.285998094508865</v>
      </c>
      <c r="W15" t="n">
        <v>19.74496405385659</v>
      </c>
      <c r="X15" t="n">
        <v>19.41769948708744</v>
      </c>
    </row>
    <row r="16">
      <c r="A16" t="inlineStr">
        <is>
          <t>ENI</t>
        </is>
      </c>
      <c r="B16" t="n">
        <v>2021</v>
      </c>
      <c r="C16" t="inlineStr">
        <is>
          <t>Oil, Gas and Mining</t>
        </is>
      </c>
      <c r="D16" t="inlineStr">
        <is>
          <t>ITA</t>
        </is>
      </c>
      <c r="E16" t="inlineStr">
        <is>
          <t>Italy</t>
        </is>
      </c>
      <c r="F16" t="inlineStr">
        <is>
          <t>DEU</t>
        </is>
      </c>
      <c r="G16" t="inlineStr">
        <is>
          <t>Germany</t>
        </is>
      </c>
      <c r="H16" t="n">
        <v>2337294000</v>
      </c>
      <c r="I16" t="n">
        <v>124526000</v>
      </c>
      <c r="J16" t="n">
        <v>47126000</v>
      </c>
      <c r="K16" t="n">
        <v>517</v>
      </c>
      <c r="L16" t="n">
        <v>468892000</v>
      </c>
      <c r="M16" t="n">
        <v>36436000</v>
      </c>
      <c r="N16" t="n">
        <v>475124000</v>
      </c>
      <c r="O16" t="n">
        <v>1862170000</v>
      </c>
      <c r="P16" t="n">
        <v>241223000</v>
      </c>
      <c r="Q16" t="n">
        <v>-63612000</v>
      </c>
      <c r="R16" t="inlineStr">
        <is>
          <t>EUR</t>
        </is>
      </c>
      <c r="S16" t="n">
        <v>0.3784430560686122</v>
      </c>
      <c r="T16" t="n">
        <v>18.64002508740734</v>
      </c>
      <c r="U16" t="n">
        <v>0.1432191466865507</v>
      </c>
      <c r="V16" t="n">
        <v>6.248042874508429</v>
      </c>
      <c r="W16" t="n">
        <v>19.96588302270719</v>
      </c>
      <c r="X16" t="n">
        <v>21.34500831131149</v>
      </c>
    </row>
    <row r="17">
      <c r="A17" t="inlineStr">
        <is>
          <t>ESPRINET</t>
        </is>
      </c>
      <c r="B17" t="n">
        <v>2021</v>
      </c>
      <c r="C17" t="inlineStr">
        <is>
          <t>Business and Financial Services</t>
        </is>
      </c>
      <c r="D17" t="inlineStr">
        <is>
          <t>ITA</t>
        </is>
      </c>
      <c r="E17" t="inlineStr">
        <is>
          <t>Italy</t>
        </is>
      </c>
      <c r="F17" t="inlineStr">
        <is>
          <t>DEU</t>
        </is>
      </c>
      <c r="G17" t="inlineStr">
        <is>
          <t>Germany</t>
        </is>
      </c>
      <c r="H17" t="n">
        <v>286825</v>
      </c>
      <c r="I17" t="n">
        <v>12089</v>
      </c>
      <c r="J17" t="n">
        <v>0</v>
      </c>
      <c r="K17" t="n">
        <v>2</v>
      </c>
      <c r="L17" t="n">
        <v>2</v>
      </c>
      <c r="M17" t="n">
        <v>-750</v>
      </c>
      <c r="N17" t="inlineStr"/>
      <c r="O17" t="n">
        <v>305346</v>
      </c>
      <c r="P17" t="n">
        <v>-741932</v>
      </c>
      <c r="Q17" t="n">
        <v>56693</v>
      </c>
      <c r="R17" t="inlineStr">
        <is>
          <t>EUR</t>
        </is>
      </c>
      <c r="S17" t="n">
        <v>0</v>
      </c>
      <c r="T17" t="n">
        <v>9.400051227201992</v>
      </c>
      <c r="U17" t="n">
        <v>0</v>
      </c>
      <c r="V17" t="n">
        <v>0.6931471805599453</v>
      </c>
      <c r="W17" t="n">
        <v>0.6931471805599453</v>
      </c>
      <c r="X17" t="n">
        <v>12.62920083884385</v>
      </c>
    </row>
    <row r="18">
      <c r="A18" t="inlineStr">
        <is>
          <t>FEDRIGONI</t>
        </is>
      </c>
      <c r="B18" t="n">
        <v>2021</v>
      </c>
      <c r="C18" t="inlineStr">
        <is>
          <t>Unclassified Manufacturing</t>
        </is>
      </c>
      <c r="D18" t="inlineStr">
        <is>
          <t>ITA</t>
        </is>
      </c>
      <c r="E18" t="inlineStr">
        <is>
          <t>Italy</t>
        </is>
      </c>
      <c r="F18" t="inlineStr">
        <is>
          <t>DEU</t>
        </is>
      </c>
      <c r="G18" t="inlineStr">
        <is>
          <t>Germany</t>
        </is>
      </c>
      <c r="H18" t="n">
        <v>33411000</v>
      </c>
      <c r="I18" t="n">
        <v>378000</v>
      </c>
      <c r="J18" t="n">
        <v>82000</v>
      </c>
      <c r="K18" t="n">
        <v>51</v>
      </c>
      <c r="L18" t="n">
        <v>9072000</v>
      </c>
      <c r="M18" t="n">
        <v>255000</v>
      </c>
      <c r="N18" t="n">
        <v>31980000</v>
      </c>
      <c r="O18" t="n">
        <v>1431000</v>
      </c>
      <c r="P18" t="inlineStr"/>
      <c r="Q18" t="inlineStr"/>
      <c r="R18" t="inlineStr">
        <is>
          <t>EUR</t>
        </is>
      </c>
      <c r="S18" t="n">
        <v>0.2169312169312169</v>
      </c>
      <c r="T18" t="n">
        <v>12.84264947460172</v>
      </c>
      <c r="U18" t="n">
        <v>0.04705915287925869</v>
      </c>
      <c r="V18" t="n">
        <v>3.931825632724326</v>
      </c>
      <c r="W18" t="n">
        <v>16.02070330494967</v>
      </c>
      <c r="X18" t="n">
        <v>14.17388405853859</v>
      </c>
    </row>
    <row r="19">
      <c r="A19" t="inlineStr">
        <is>
          <t>FERALPI</t>
        </is>
      </c>
      <c r="B19" t="n">
        <v>2021</v>
      </c>
      <c r="C19" t="inlineStr">
        <is>
          <t>Metals and Cement</t>
        </is>
      </c>
      <c r="D19" t="inlineStr">
        <is>
          <t>ITA</t>
        </is>
      </c>
      <c r="E19" t="inlineStr">
        <is>
          <t>Italy</t>
        </is>
      </c>
      <c r="F19" t="inlineStr">
        <is>
          <t>DEU</t>
        </is>
      </c>
      <c r="G19" t="inlineStr">
        <is>
          <t>Germany</t>
        </is>
      </c>
      <c r="H19" t="n">
        <v>635500000</v>
      </c>
      <c r="I19" t="n">
        <v>96500000</v>
      </c>
      <c r="J19" t="n">
        <v>8800000</v>
      </c>
      <c r="K19" t="n">
        <v>795</v>
      </c>
      <c r="L19" t="n">
        <v>352400000</v>
      </c>
      <c r="M19" t="n">
        <v>28500000</v>
      </c>
      <c r="N19" t="n">
        <v>599300000</v>
      </c>
      <c r="O19" t="n">
        <v>36200000</v>
      </c>
      <c r="P19" t="inlineStr"/>
      <c r="Q19" t="inlineStr"/>
      <c r="R19" t="inlineStr">
        <is>
          <t>EUR</t>
        </is>
      </c>
      <c r="S19" t="n">
        <v>0.09119170984455958</v>
      </c>
      <c r="T19" t="n">
        <v>18.38505356630921</v>
      </c>
      <c r="U19" t="n">
        <v>0.008315927944374345</v>
      </c>
      <c r="V19" t="n">
        <v>6.678342114654332</v>
      </c>
      <c r="W19" t="n">
        <v>19.6802774520263</v>
      </c>
      <c r="X19" t="n">
        <v>17.404569676796</v>
      </c>
    </row>
    <row r="20">
      <c r="A20" t="inlineStr">
        <is>
          <t>IBERDROLA</t>
        </is>
      </c>
      <c r="B20" t="n">
        <v>2019</v>
      </c>
      <c r="C20" t="inlineStr">
        <is>
          <t>Utilities</t>
        </is>
      </c>
      <c r="D20" t="inlineStr">
        <is>
          <t>ESP</t>
        </is>
      </c>
      <c r="E20" t="inlineStr">
        <is>
          <t>Spain</t>
        </is>
      </c>
      <c r="F20" t="inlineStr">
        <is>
          <t>DEU</t>
        </is>
      </c>
      <c r="G20" t="inlineStr">
        <is>
          <t>Germany</t>
        </is>
      </c>
      <c r="H20" t="n">
        <v>296576549</v>
      </c>
      <c r="I20" t="n">
        <v>140455366</v>
      </c>
      <c r="J20" t="n">
        <v>845</v>
      </c>
      <c r="K20" t="n">
        <v>59</v>
      </c>
      <c r="L20" t="n">
        <v>1509253548</v>
      </c>
      <c r="M20" t="n">
        <v>32216277</v>
      </c>
      <c r="N20" t="n">
        <v>253472539</v>
      </c>
      <c r="O20" t="n">
        <v>43104010</v>
      </c>
      <c r="P20" t="inlineStr"/>
      <c r="Q20" t="n">
        <v>529207059</v>
      </c>
      <c r="R20" t="inlineStr">
        <is>
          <t>EUR</t>
        </is>
      </c>
      <c r="S20" t="n">
        <v>6.016146083019712e-06</v>
      </c>
      <c r="T20" t="n">
        <v>18.76040031655188</v>
      </c>
      <c r="U20" t="n">
        <v>3.619401369223342e-11</v>
      </c>
      <c r="V20" t="n">
        <v>4.07753744390572</v>
      </c>
      <c r="W20" t="n">
        <v>21.13488102647456</v>
      </c>
      <c r="X20" t="n">
        <v>17.57912659018923</v>
      </c>
    </row>
    <row r="21">
      <c r="A21" t="inlineStr">
        <is>
          <t>IBERDROLA</t>
        </is>
      </c>
      <c r="B21" t="n">
        <v>2020</v>
      </c>
      <c r="C21" t="inlineStr">
        <is>
          <t>Utilities</t>
        </is>
      </c>
      <c r="D21" t="inlineStr">
        <is>
          <t>ESP</t>
        </is>
      </c>
      <c r="E21" t="inlineStr">
        <is>
          <t>Spain</t>
        </is>
      </c>
      <c r="F21" t="inlineStr">
        <is>
          <t>DEU</t>
        </is>
      </c>
      <c r="G21" t="inlineStr">
        <is>
          <t>Germany</t>
        </is>
      </c>
      <c r="H21" t="n">
        <v>391000000</v>
      </c>
      <c r="I21" t="n">
        <v>144000000</v>
      </c>
      <c r="J21" t="n">
        <v>68000000</v>
      </c>
      <c r="K21" t="n">
        <v>85</v>
      </c>
      <c r="L21" t="n">
        <v>1503000000</v>
      </c>
      <c r="M21" t="n">
        <v>39000000</v>
      </c>
      <c r="N21" t="n">
        <v>364000000</v>
      </c>
      <c r="O21" t="n">
        <v>27000000</v>
      </c>
      <c r="P21" t="inlineStr"/>
      <c r="Q21" t="inlineStr"/>
      <c r="R21" t="inlineStr">
        <is>
          <t>EUR</t>
        </is>
      </c>
      <c r="S21" t="n">
        <v>0.4722222222222222</v>
      </c>
      <c r="T21" t="n">
        <v>18.78532385754027</v>
      </c>
      <c r="U21" t="n">
        <v>0.2229938271604938</v>
      </c>
      <c r="V21" t="n">
        <v>4.442651256490317</v>
      </c>
      <c r="W21" t="n">
        <v>21.13072894771725</v>
      </c>
      <c r="X21" t="n">
        <v>17.1113474239686</v>
      </c>
    </row>
    <row r="22">
      <c r="A22" t="inlineStr">
        <is>
          <t>IBERDROLA</t>
        </is>
      </c>
      <c r="B22" t="n">
        <v>2021</v>
      </c>
      <c r="C22" t="inlineStr">
        <is>
          <t>Utilities</t>
        </is>
      </c>
      <c r="D22" t="inlineStr">
        <is>
          <t>ESP</t>
        </is>
      </c>
      <c r="E22" t="inlineStr">
        <is>
          <t>Spain</t>
        </is>
      </c>
      <c r="F22" t="inlineStr">
        <is>
          <t>DEU</t>
        </is>
      </c>
      <c r="G22" t="inlineStr">
        <is>
          <t>Germany</t>
        </is>
      </c>
      <c r="H22" t="n">
        <v>438000000</v>
      </c>
      <c r="I22" t="n">
        <v>128000000</v>
      </c>
      <c r="J22" t="n">
        <v>49000000</v>
      </c>
      <c r="K22" t="n">
        <v>97</v>
      </c>
      <c r="L22" t="n">
        <v>1571000000</v>
      </c>
      <c r="M22" t="n">
        <v>33000000</v>
      </c>
      <c r="N22" t="n">
        <v>292000000</v>
      </c>
      <c r="O22" t="n">
        <v>146000000</v>
      </c>
      <c r="P22" t="inlineStr"/>
      <c r="Q22" t="inlineStr"/>
      <c r="R22" t="inlineStr">
        <is>
          <t>EUR</t>
        </is>
      </c>
      <c r="S22" t="n">
        <v>0.3828125</v>
      </c>
      <c r="T22" t="n">
        <v>18.66754082188389</v>
      </c>
      <c r="U22" t="n">
        <v>0.14654541015625</v>
      </c>
      <c r="V22" t="n">
        <v>4.574710978503383</v>
      </c>
      <c r="W22" t="n">
        <v>21.1749781962199</v>
      </c>
      <c r="X22" t="n">
        <v>18.79911717967261</v>
      </c>
    </row>
    <row r="23">
      <c r="A23" t="inlineStr">
        <is>
          <t>INTERPUMP</t>
        </is>
      </c>
      <c r="B23" t="n">
        <v>2021</v>
      </c>
      <c r="C23" t="inlineStr">
        <is>
          <t>Industrial, Electric and Electronic Machinery</t>
        </is>
      </c>
      <c r="D23" t="inlineStr">
        <is>
          <t>ITA</t>
        </is>
      </c>
      <c r="E23" t="inlineStr">
        <is>
          <t>Italy</t>
        </is>
      </c>
      <c r="F23" t="inlineStr">
        <is>
          <t>DEU</t>
        </is>
      </c>
      <c r="G23" t="inlineStr">
        <is>
          <t>Germany</t>
        </is>
      </c>
      <c r="H23" t="n">
        <v>122460000</v>
      </c>
      <c r="I23" t="n">
        <v>30720000</v>
      </c>
      <c r="J23" t="n">
        <v>8253000</v>
      </c>
      <c r="K23" t="n">
        <v>538</v>
      </c>
      <c r="L23" t="n">
        <v>29062000</v>
      </c>
      <c r="M23" t="n">
        <v>9345000</v>
      </c>
      <c r="N23" t="n">
        <v>89688000</v>
      </c>
      <c r="O23" t="n">
        <v>32772000</v>
      </c>
      <c r="P23" t="n">
        <v>54768000</v>
      </c>
      <c r="Q23" t="n">
        <v>86343000</v>
      </c>
      <c r="R23" t="inlineStr">
        <is>
          <t>EUR</t>
        </is>
      </c>
      <c r="S23" t="n">
        <v>0.26865234375</v>
      </c>
      <c r="T23" t="n">
        <v>17.24042446624374</v>
      </c>
      <c r="U23" t="n">
        <v>0.07217408180236817</v>
      </c>
      <c r="V23" t="n">
        <v>6.287858560161784</v>
      </c>
      <c r="W23" t="n">
        <v>17.18494203686278</v>
      </c>
      <c r="X23" t="n">
        <v>17.30508505024384</v>
      </c>
    </row>
    <row r="24">
      <c r="A24" t="inlineStr">
        <is>
          <t>ØRSTED</t>
        </is>
      </c>
      <c r="B24" t="n">
        <v>2020</v>
      </c>
      <c r="C24" t="inlineStr">
        <is>
          <t>Utilities</t>
        </is>
      </c>
      <c r="D24" t="inlineStr">
        <is>
          <t>DNK</t>
        </is>
      </c>
      <c r="E24" t="inlineStr">
        <is>
          <t>Denmark</t>
        </is>
      </c>
      <c r="F24" t="inlineStr">
        <is>
          <t>DEU</t>
        </is>
      </c>
      <c r="G24" t="inlineStr">
        <is>
          <t>Germany</t>
        </is>
      </c>
      <c r="H24" t="n">
        <v>490059295.430764</v>
      </c>
      <c r="I24" t="n">
        <v>124761879.209037</v>
      </c>
      <c r="J24" t="n">
        <v>268305.116578573</v>
      </c>
      <c r="K24" t="n">
        <v>219</v>
      </c>
      <c r="L24" t="n">
        <v>1511094416.57052</v>
      </c>
      <c r="M24" t="n">
        <v>37428563.762711</v>
      </c>
      <c r="N24" t="n">
        <v>398164793.002603</v>
      </c>
      <c r="O24" t="n">
        <v>91894502.42816129</v>
      </c>
      <c r="P24" t="inlineStr"/>
      <c r="Q24" t="inlineStr"/>
      <c r="R24" t="inlineStr">
        <is>
          <t>EUR</t>
        </is>
      </c>
      <c r="S24" t="n">
        <v>0.002150537634408593</v>
      </c>
      <c r="T24" t="n">
        <v>18.64191751218291</v>
      </c>
      <c r="U24" t="n">
        <v>4.624812117007705e-06</v>
      </c>
      <c r="V24" t="n">
        <v>5.389071729816501</v>
      </c>
      <c r="W24" t="n">
        <v>21.13610000443343</v>
      </c>
      <c r="X24" t="n">
        <v>18.33615176429783</v>
      </c>
    </row>
    <row r="25">
      <c r="A25" t="inlineStr">
        <is>
          <t>PEARSON</t>
        </is>
      </c>
      <c r="B25" t="n">
        <v>2020</v>
      </c>
      <c r="C25" t="inlineStr">
        <is>
          <t>Printing &amp; Publishing</t>
        </is>
      </c>
      <c r="D25" t="inlineStr">
        <is>
          <t>GBR</t>
        </is>
      </c>
      <c r="E25" t="inlineStr">
        <is>
          <t>United Kingdom</t>
        </is>
      </c>
      <c r="F25" t="inlineStr">
        <is>
          <t>DEU</t>
        </is>
      </c>
      <c r="G25" t="inlineStr">
        <is>
          <t>Germany</t>
        </is>
      </c>
      <c r="H25" t="n">
        <v>30347308.0813757</v>
      </c>
      <c r="I25" t="n">
        <v>4495897.49353715</v>
      </c>
      <c r="J25" t="n">
        <v>1123974.37338429</v>
      </c>
      <c r="K25" t="n">
        <v>134</v>
      </c>
      <c r="L25" t="n">
        <v>5619871.86692143</v>
      </c>
      <c r="M25" t="n">
        <v>1123974.37338429</v>
      </c>
      <c r="N25" t="n">
        <v>29223333.7079915</v>
      </c>
      <c r="O25" t="n">
        <v>1123974.37338429</v>
      </c>
      <c r="P25" t="n">
        <v>66314488.0296729</v>
      </c>
      <c r="Q25" t="n">
        <v>-22479487.4676857</v>
      </c>
      <c r="R25" t="inlineStr">
        <is>
          <t>EUR</t>
        </is>
      </c>
      <c r="S25" t="n">
        <v>0.2500000000000005</v>
      </c>
      <c r="T25" t="n">
        <v>15.31867587081558</v>
      </c>
      <c r="U25" t="n">
        <v>0.06250000000000025</v>
      </c>
      <c r="V25" t="n">
        <v>4.897839799950911</v>
      </c>
      <c r="W25" t="n">
        <v>15.54181942212979</v>
      </c>
      <c r="X25" t="n">
        <v>13.93238150969569</v>
      </c>
    </row>
    <row r="26">
      <c r="A26" t="inlineStr">
        <is>
          <t>PEARSON</t>
        </is>
      </c>
      <c r="B26" t="n">
        <v>2021</v>
      </c>
      <c r="C26" t="inlineStr">
        <is>
          <t>Printing &amp; Publishing</t>
        </is>
      </c>
      <c r="D26" t="inlineStr">
        <is>
          <t>GBR</t>
        </is>
      </c>
      <c r="E26" t="inlineStr">
        <is>
          <t>United Kingdom</t>
        </is>
      </c>
      <c r="F26" t="inlineStr">
        <is>
          <t>DEU</t>
        </is>
      </c>
      <c r="G26" t="inlineStr">
        <is>
          <t>Germany</t>
        </is>
      </c>
      <c r="H26" t="n">
        <v>29221731.037692</v>
      </c>
      <c r="I26" t="n">
        <v>1425081.43322476</v>
      </c>
      <c r="J26" t="n">
        <v>446719.404374128</v>
      </c>
      <c r="K26" t="n">
        <v>132</v>
      </c>
      <c r="L26" t="n">
        <v>5666589.11121452</v>
      </c>
      <c r="M26" t="n">
        <v>271056.30525826</v>
      </c>
      <c r="N26" t="n">
        <v>28413215.4490461</v>
      </c>
      <c r="O26" t="n">
        <v>808515.588645882</v>
      </c>
      <c r="P26" t="n">
        <v>63802931.5960912</v>
      </c>
      <c r="Q26" t="n">
        <v>-19498604.0018613</v>
      </c>
      <c r="R26" t="inlineStr">
        <is>
          <t>EUR</t>
        </is>
      </c>
      <c r="S26" t="n">
        <v>0.3134693877551014</v>
      </c>
      <c r="T26" t="n">
        <v>14.16973951617475</v>
      </c>
      <c r="U26" t="n">
        <v>0.09826305705955812</v>
      </c>
      <c r="V26" t="n">
        <v>4.882801922586371</v>
      </c>
      <c r="W26" t="n">
        <v>15.55009792700246</v>
      </c>
      <c r="X26" t="n">
        <v>13.60295523876071</v>
      </c>
    </row>
    <row r="27">
      <c r="A27" t="inlineStr">
        <is>
          <t>PHILIPS</t>
        </is>
      </c>
      <c r="B27" t="n">
        <v>2020</v>
      </c>
      <c r="C27" t="inlineStr">
        <is>
          <t>Industrial, Electric and Electronic Machinery</t>
        </is>
      </c>
      <c r="D27" t="inlineStr">
        <is>
          <t>NLD</t>
        </is>
      </c>
      <c r="E27" t="inlineStr">
        <is>
          <t>Netherlands</t>
        </is>
      </c>
      <c r="F27" t="inlineStr">
        <is>
          <t>DEU</t>
        </is>
      </c>
      <c r="G27" t="inlineStr">
        <is>
          <t>Germany</t>
        </is>
      </c>
      <c r="H27" t="n">
        <v>3193990000</v>
      </c>
      <c r="I27" t="n">
        <v>502120000</v>
      </c>
      <c r="J27" t="n">
        <v>185120000</v>
      </c>
      <c r="K27" t="n">
        <v>3825</v>
      </c>
      <c r="L27" t="n">
        <v>172690000</v>
      </c>
      <c r="M27" t="n">
        <v>117550000</v>
      </c>
      <c r="N27" t="n">
        <v>1344510000</v>
      </c>
      <c r="O27" t="n">
        <v>1849480000</v>
      </c>
      <c r="P27" t="inlineStr"/>
      <c r="Q27" t="inlineStr"/>
      <c r="R27" t="inlineStr">
        <is>
          <t>EUR</t>
        </is>
      </c>
      <c r="S27" t="n">
        <v>0.3686768103242253</v>
      </c>
      <c r="T27" t="n">
        <v>20.03434969291428</v>
      </c>
      <c r="U27" t="n">
        <v>0.1359225904708448</v>
      </c>
      <c r="V27" t="n">
        <v>8.249313746260636</v>
      </c>
      <c r="W27" t="n">
        <v>18.96700863756085</v>
      </c>
      <c r="X27" t="n">
        <v>21.33817035544487</v>
      </c>
    </row>
    <row r="28">
      <c r="A28" t="inlineStr">
        <is>
          <t>PHILIPS</t>
        </is>
      </c>
      <c r="B28" t="n">
        <v>2021</v>
      </c>
      <c r="C28" t="inlineStr">
        <is>
          <t>Industrial, Electric and Electronic Machinery</t>
        </is>
      </c>
      <c r="D28" t="inlineStr">
        <is>
          <t>NLD</t>
        </is>
      </c>
      <c r="E28" t="inlineStr">
        <is>
          <t>Netherlands</t>
        </is>
      </c>
      <c r="F28" t="inlineStr">
        <is>
          <t>DEU</t>
        </is>
      </c>
      <c r="G28" t="inlineStr">
        <is>
          <t>Germany</t>
        </is>
      </c>
      <c r="H28" t="n">
        <v>2261170000</v>
      </c>
      <c r="I28" t="n">
        <v>130530000</v>
      </c>
      <c r="J28" t="n">
        <v>27700000</v>
      </c>
      <c r="K28" t="n">
        <v>3762</v>
      </c>
      <c r="L28" t="n">
        <v>168500000</v>
      </c>
      <c r="M28" t="n">
        <v>35920000</v>
      </c>
      <c r="N28" t="n">
        <v>970430000</v>
      </c>
      <c r="O28" t="n">
        <v>1290740000</v>
      </c>
      <c r="P28" t="inlineStr"/>
      <c r="Q28" t="inlineStr"/>
      <c r="R28" t="inlineStr">
        <is>
          <t>EUR</t>
        </is>
      </c>
      <c r="S28" t="n">
        <v>0.2122117520876427</v>
      </c>
      <c r="T28" t="n">
        <v>18.68711364336497</v>
      </c>
      <c r="U28" t="n">
        <v>0.04503382772410711</v>
      </c>
      <c r="V28" t="n">
        <v>8.232706009860976</v>
      </c>
      <c r="W28" t="n">
        <v>18.94244630775669</v>
      </c>
      <c r="X28" t="n">
        <v>20.97848153426036</v>
      </c>
    </row>
    <row r="29">
      <c r="A29" t="inlineStr">
        <is>
          <t>PRYSMIAN</t>
        </is>
      </c>
      <c r="B29" t="n">
        <v>2021</v>
      </c>
      <c r="C29" t="inlineStr">
        <is>
          <t>Communications</t>
        </is>
      </c>
      <c r="D29" t="inlineStr">
        <is>
          <t>ITA</t>
        </is>
      </c>
      <c r="E29" t="inlineStr">
        <is>
          <t>Italy</t>
        </is>
      </c>
      <c r="F29" t="inlineStr">
        <is>
          <t>DEU</t>
        </is>
      </c>
      <c r="G29" t="inlineStr">
        <is>
          <t>Germany</t>
        </is>
      </c>
      <c r="H29" t="n">
        <v>1126000000</v>
      </c>
      <c r="I29" t="n">
        <v>10000000</v>
      </c>
      <c r="J29" t="n">
        <v>1000000</v>
      </c>
      <c r="K29" t="n">
        <v>1910</v>
      </c>
      <c r="L29" t="n">
        <v>322000000</v>
      </c>
      <c r="M29" t="n">
        <v>3000000</v>
      </c>
      <c r="N29" t="n">
        <v>836000000</v>
      </c>
      <c r="O29" t="n">
        <v>290000000</v>
      </c>
      <c r="P29" t="inlineStr"/>
      <c r="Q29" t="inlineStr"/>
      <c r="R29" t="inlineStr">
        <is>
          <t>EUR</t>
        </is>
      </c>
      <c r="S29" t="n">
        <v>0.1</v>
      </c>
      <c r="T29" t="n">
        <v>16.11809565095832</v>
      </c>
      <c r="U29" t="n">
        <v>0.01</v>
      </c>
      <c r="V29" t="n">
        <v>7.554858521040676</v>
      </c>
      <c r="W29" t="n">
        <v>19.59006210350868</v>
      </c>
      <c r="X29" t="n">
        <v>19.4853914809448</v>
      </c>
    </row>
    <row r="30">
      <c r="A30" t="inlineStr">
        <is>
          <t>QIAGEN</t>
        </is>
      </c>
      <c r="B30" t="n">
        <v>2020</v>
      </c>
      <c r="C30" t="inlineStr">
        <is>
          <t>Biomedical</t>
        </is>
      </c>
      <c r="D30" t="inlineStr">
        <is>
          <t>NLD</t>
        </is>
      </c>
      <c r="E30" t="inlineStr">
        <is>
          <t>Netherlands</t>
        </is>
      </c>
      <c r="F30" t="inlineStr">
        <is>
          <t>DEU</t>
        </is>
      </c>
      <c r="G30" t="inlineStr">
        <is>
          <t>Germany</t>
        </is>
      </c>
      <c r="H30" t="n">
        <v>867339345.123446</v>
      </c>
      <c r="I30" t="n">
        <v>149410786.202066</v>
      </c>
      <c r="J30" t="n">
        <v>4141131.15041149</v>
      </c>
      <c r="K30" t="n">
        <v>1361</v>
      </c>
      <c r="L30" t="n">
        <v>337320084.048328</v>
      </c>
      <c r="M30" t="n">
        <v>-1830677.63964279</v>
      </c>
      <c r="N30" t="n">
        <v>292801610.926283</v>
      </c>
      <c r="O30" t="n">
        <v>574537734.197163</v>
      </c>
      <c r="P30" t="n">
        <v>558188583.435475</v>
      </c>
      <c r="Q30" t="n">
        <v>-243705130.450009</v>
      </c>
      <c r="R30" t="inlineStr">
        <is>
          <t>EUR</t>
        </is>
      </c>
      <c r="S30" t="n">
        <v>0.02771641362499053</v>
      </c>
      <c r="T30" t="n">
        <v>18.82221002485791</v>
      </c>
      <c r="U30" t="n">
        <v>0.0007681995842315609</v>
      </c>
      <c r="V30" t="n">
        <v>7.215975002651466</v>
      </c>
      <c r="W30" t="n">
        <v>19.63654284183566</v>
      </c>
      <c r="X30" t="n">
        <v>20.16907633490146</v>
      </c>
    </row>
    <row r="31">
      <c r="A31" t="inlineStr">
        <is>
          <t>QIAGEN</t>
        </is>
      </c>
      <c r="B31" t="n">
        <v>2021</v>
      </c>
      <c r="C31" t="inlineStr">
        <is>
          <t>Biomedical</t>
        </is>
      </c>
      <c r="D31" t="inlineStr">
        <is>
          <t>NLD</t>
        </is>
      </c>
      <c r="E31" t="inlineStr">
        <is>
          <t>Netherlands</t>
        </is>
      </c>
      <c r="F31" t="inlineStr">
        <is>
          <t>DEU</t>
        </is>
      </c>
      <c r="G31" t="inlineStr">
        <is>
          <t>Germany</t>
        </is>
      </c>
      <c r="H31" t="n">
        <v>1031340999.40813</v>
      </c>
      <c r="I31" t="n">
        <v>194966601.84324</v>
      </c>
      <c r="J31" t="n">
        <v>13320368.6480088</v>
      </c>
      <c r="K31" t="n">
        <v>1517</v>
      </c>
      <c r="L31" t="n">
        <v>427008539.781855</v>
      </c>
      <c r="M31" t="n">
        <v>-12728502.578845</v>
      </c>
      <c r="N31" t="n">
        <v>312109579.775091</v>
      </c>
      <c r="O31" t="n">
        <v>719231419.6330431</v>
      </c>
      <c r="P31" t="n">
        <v>654876976.409909</v>
      </c>
      <c r="Q31" t="n">
        <v>-103854739.156168</v>
      </c>
      <c r="R31" t="inlineStr">
        <is>
          <t>EUR</t>
        </is>
      </c>
      <c r="S31" t="n">
        <v>0.06832128437422756</v>
      </c>
      <c r="T31" t="n">
        <v>19.08833882926043</v>
      </c>
      <c r="U31" t="n">
        <v>0.004667797898544071</v>
      </c>
      <c r="V31" t="n">
        <v>7.324489979348532</v>
      </c>
      <c r="W31" t="n">
        <v>19.87231457048203</v>
      </c>
      <c r="X31" t="n">
        <v>20.39369372708769</v>
      </c>
    </row>
    <row r="32">
      <c r="A32" t="inlineStr">
        <is>
          <t>RIO TINTO</t>
        </is>
      </c>
      <c r="B32" t="n">
        <v>2019</v>
      </c>
      <c r="C32" t="inlineStr">
        <is>
          <t>Oil, Gas and Mining</t>
        </is>
      </c>
      <c r="D32" t="inlineStr">
        <is>
          <t>AUS</t>
        </is>
      </c>
      <c r="E32" t="inlineStr">
        <is>
          <t>Australia</t>
        </is>
      </c>
      <c r="F32" t="inlineStr">
        <is>
          <t>DEU</t>
        </is>
      </c>
      <c r="G32" t="inlineStr">
        <is>
          <t>Germany</t>
        </is>
      </c>
      <c r="H32" t="n">
        <v>8842150.960250109</v>
      </c>
      <c r="I32" t="n">
        <v>3519457.79365788</v>
      </c>
      <c r="J32" t="n">
        <v>625377.4006252791</v>
      </c>
      <c r="K32" t="n">
        <v>22</v>
      </c>
      <c r="L32" t="n">
        <v>54361.7686467173</v>
      </c>
      <c r="M32" t="n">
        <v>79038.8566324252</v>
      </c>
      <c r="N32" t="n">
        <v>509154.979901742</v>
      </c>
      <c r="O32" t="n">
        <v>8332995.98034837</v>
      </c>
      <c r="P32" t="inlineStr"/>
      <c r="Q32" t="inlineStr"/>
      <c r="R32" t="inlineStr">
        <is>
          <t>EUR</t>
        </is>
      </c>
      <c r="S32" t="n">
        <v>0.1776914051227491</v>
      </c>
      <c r="T32" t="n">
        <v>15.07381749981688</v>
      </c>
      <c r="U32" t="n">
        <v>0.03157423545449695</v>
      </c>
      <c r="V32" t="n">
        <v>3.091042453358316</v>
      </c>
      <c r="W32" t="n">
        <v>10.90341640354738</v>
      </c>
      <c r="X32" t="n">
        <v>15.93573361098674</v>
      </c>
    </row>
    <row r="33">
      <c r="A33" t="inlineStr">
        <is>
          <t>RIO TINTO</t>
        </is>
      </c>
      <c r="B33" t="n">
        <v>2020</v>
      </c>
      <c r="C33" t="inlineStr">
        <is>
          <t>Oil, Gas and Mining</t>
        </is>
      </c>
      <c r="D33" t="inlineStr">
        <is>
          <t>AUS</t>
        </is>
      </c>
      <c r="E33" t="inlineStr">
        <is>
          <t>Australia</t>
        </is>
      </c>
      <c r="F33" t="inlineStr">
        <is>
          <t>DEU</t>
        </is>
      </c>
      <c r="G33" t="inlineStr">
        <is>
          <t>Germany</t>
        </is>
      </c>
      <c r="H33" t="n">
        <v>5836082.99772369</v>
      </c>
      <c r="I33" t="n">
        <v>4692134.47732446</v>
      </c>
      <c r="J33" t="n">
        <v>396965.50516547</v>
      </c>
      <c r="K33" t="n">
        <v>18</v>
      </c>
      <c r="L33" t="n">
        <v>1866243.21484854</v>
      </c>
      <c r="M33" t="n">
        <v>810240.763438977</v>
      </c>
      <c r="N33" t="n">
        <v>439248.81807039</v>
      </c>
      <c r="O33" t="n">
        <v>5396834.1796533</v>
      </c>
      <c r="P33" t="inlineStr"/>
      <c r="Q33" t="inlineStr"/>
      <c r="R33" t="inlineStr">
        <is>
          <t>EUR</t>
        </is>
      </c>
      <c r="S33" t="n">
        <v>0.08460232908580807</v>
      </c>
      <c r="T33" t="n">
        <v>15.36139814932613</v>
      </c>
      <c r="U33" t="n">
        <v>0.007157554086743367</v>
      </c>
      <c r="V33" t="n">
        <v>2.890371757896165</v>
      </c>
      <c r="W33" t="n">
        <v>14.43943799211482</v>
      </c>
      <c r="X33" t="n">
        <v>15.50132307658797</v>
      </c>
    </row>
    <row r="34">
      <c r="A34" t="inlineStr">
        <is>
          <t>RIO TINTO</t>
        </is>
      </c>
      <c r="B34" t="n">
        <v>2021</v>
      </c>
      <c r="C34" t="inlineStr">
        <is>
          <t>Oil, Gas and Mining</t>
        </is>
      </c>
      <c r="D34" t="inlineStr">
        <is>
          <t>AUS</t>
        </is>
      </c>
      <c r="E34" t="inlineStr">
        <is>
          <t>Australia</t>
        </is>
      </c>
      <c r="F34" t="inlineStr">
        <is>
          <t>DEU</t>
        </is>
      </c>
      <c r="G34" t="inlineStr">
        <is>
          <t>Germany</t>
        </is>
      </c>
      <c r="H34" t="n">
        <v>4793489.4732392</v>
      </c>
      <c r="I34" t="n">
        <v>8070377.94876131</v>
      </c>
      <c r="J34" t="n">
        <v>202452.862095206</v>
      </c>
      <c r="K34" t="n">
        <v>18</v>
      </c>
      <c r="L34" t="n">
        <v>1585673.45903441</v>
      </c>
      <c r="M34" t="n">
        <v>291047.60294242</v>
      </c>
      <c r="N34" t="n">
        <v>309455.483216369</v>
      </c>
      <c r="O34" t="n">
        <v>4484033.99002283</v>
      </c>
      <c r="P34" t="inlineStr"/>
      <c r="Q34" t="inlineStr"/>
      <c r="R34" t="inlineStr">
        <is>
          <t>EUR</t>
        </is>
      </c>
      <c r="S34" t="n">
        <v>0.02508592080576346</v>
      </c>
      <c r="T34" t="n">
        <v>15.90371087294888</v>
      </c>
      <c r="U34" t="n">
        <v>0.0006293034226730361</v>
      </c>
      <c r="V34" t="n">
        <v>2.890371757896165</v>
      </c>
      <c r="W34" t="n">
        <v>14.27651977034092</v>
      </c>
      <c r="X34" t="n">
        <v>15.31603364343601</v>
      </c>
    </row>
    <row r="35">
      <c r="A35" t="inlineStr">
        <is>
          <t>SHELL</t>
        </is>
      </c>
      <c r="B35" t="n">
        <v>2018</v>
      </c>
      <c r="C35" t="inlineStr">
        <is>
          <t>Oil, Gas and Mining</t>
        </is>
      </c>
      <c r="D35" t="inlineStr">
        <is>
          <t>GBR</t>
        </is>
      </c>
      <c r="E35" t="inlineStr">
        <is>
          <t>United Kingdom</t>
        </is>
      </c>
      <c r="F35" t="inlineStr">
        <is>
          <t>DEU</t>
        </is>
      </c>
      <c r="G35" t="inlineStr">
        <is>
          <t>Germany</t>
        </is>
      </c>
      <c r="H35" t="n">
        <v>26513992596.9517</v>
      </c>
      <c r="I35" t="n">
        <v>137669923.793395</v>
      </c>
      <c r="J35" t="n">
        <v>58519557.1549534</v>
      </c>
      <c r="K35" t="n">
        <v>3339</v>
      </c>
      <c r="L35" t="n">
        <v>4557269917.01947</v>
      </c>
      <c r="M35" t="n">
        <v>36482850.9737511</v>
      </c>
      <c r="N35" t="n">
        <v>16874842378.4928</v>
      </c>
      <c r="O35" t="n">
        <v>9639150218.458929</v>
      </c>
      <c r="P35" t="inlineStr"/>
      <c r="Q35" t="n">
        <v>-2027616022.86198</v>
      </c>
      <c r="R35" t="inlineStr">
        <is>
          <t>EUR</t>
        </is>
      </c>
      <c r="S35" t="n">
        <v>0.4250714719852339</v>
      </c>
      <c r="T35" t="n">
        <v>18.7403695214935</v>
      </c>
      <c r="U35" t="n">
        <v>0.1806857562956935</v>
      </c>
      <c r="V35" t="n">
        <v>8.113426639943654</v>
      </c>
      <c r="W35" t="n">
        <v>22.23998957877084</v>
      </c>
      <c r="X35" t="n">
        <v>22.98909879007114</v>
      </c>
    </row>
    <row r="36">
      <c r="A36" t="inlineStr">
        <is>
          <t>SOL</t>
        </is>
      </c>
      <c r="B36" t="n">
        <v>2020</v>
      </c>
      <c r="C36" t="inlineStr">
        <is>
          <t>Unclassified Manufacturing</t>
        </is>
      </c>
      <c r="D36" t="inlineStr">
        <is>
          <t>ITA</t>
        </is>
      </c>
      <c r="E36" t="inlineStr">
        <is>
          <t>Italy</t>
        </is>
      </c>
      <c r="F36" t="inlineStr">
        <is>
          <t>DEU</t>
        </is>
      </c>
      <c r="G36" t="inlineStr">
        <is>
          <t>Germany</t>
        </is>
      </c>
      <c r="H36" t="n">
        <v>148590000</v>
      </c>
      <c r="I36" t="n">
        <v>17270000</v>
      </c>
      <c r="J36" t="n">
        <v>4320000</v>
      </c>
      <c r="K36" t="n">
        <v>668</v>
      </c>
      <c r="L36" t="n">
        <v>69900000</v>
      </c>
      <c r="M36" t="n">
        <v>5290000</v>
      </c>
      <c r="N36" t="n">
        <v>127490000</v>
      </c>
      <c r="O36" t="n">
        <v>21100000</v>
      </c>
      <c r="P36" t="inlineStr"/>
      <c r="Q36" t="inlineStr"/>
      <c r="R36" t="inlineStr">
        <is>
          <t>EUR</t>
        </is>
      </c>
      <c r="S36" t="n">
        <v>0.2501447596988998</v>
      </c>
      <c r="T36" t="n">
        <v>16.66448145012286</v>
      </c>
      <c r="U36" t="n">
        <v>0.06257240080482034</v>
      </c>
      <c r="V36" t="n">
        <v>6.504288173536645</v>
      </c>
      <c r="W36" t="n">
        <v>18.06257620720404</v>
      </c>
      <c r="X36" t="n">
        <v>16.86478359844629</v>
      </c>
    </row>
    <row r="37">
      <c r="A37" t="inlineStr">
        <is>
          <t>SOL</t>
        </is>
      </c>
      <c r="B37" t="n">
        <v>2021</v>
      </c>
      <c r="C37" t="inlineStr">
        <is>
          <t>Unclassified Manufacturing</t>
        </is>
      </c>
      <c r="D37" t="inlineStr">
        <is>
          <t>ITA</t>
        </is>
      </c>
      <c r="E37" t="inlineStr">
        <is>
          <t>Italy</t>
        </is>
      </c>
      <c r="F37" t="inlineStr">
        <is>
          <t>DEU</t>
        </is>
      </c>
      <c r="G37" t="inlineStr">
        <is>
          <t>Germany</t>
        </is>
      </c>
      <c r="H37" t="n">
        <v>164330000</v>
      </c>
      <c r="I37" t="n">
        <v>25240000</v>
      </c>
      <c r="J37" t="n">
        <v>6030000</v>
      </c>
      <c r="K37" t="n">
        <v>729</v>
      </c>
      <c r="L37" t="n">
        <v>62660000</v>
      </c>
      <c r="M37" t="n">
        <v>5980000</v>
      </c>
      <c r="N37" t="n">
        <v>141360000</v>
      </c>
      <c r="O37" t="n">
        <v>22970000</v>
      </c>
      <c r="P37" t="inlineStr"/>
      <c r="Q37" t="inlineStr"/>
      <c r="R37" t="inlineStr">
        <is>
          <t>EUR</t>
        </is>
      </c>
      <c r="S37" t="n">
        <v>0.2389064976228209</v>
      </c>
      <c r="T37" t="n">
        <v>17.04394059563729</v>
      </c>
      <c r="U37" t="n">
        <v>0.05707631460640294</v>
      </c>
      <c r="V37" t="n">
        <v>6.591673732008658</v>
      </c>
      <c r="W37" t="n">
        <v>17.95323384348832</v>
      </c>
      <c r="X37" t="n">
        <v>16.94969957466528</v>
      </c>
    </row>
    <row r="38">
      <c r="A38" t="inlineStr">
        <is>
          <t>SWISS LIFE</t>
        </is>
      </c>
      <c r="B38" t="n">
        <v>2020</v>
      </c>
      <c r="C38" t="inlineStr">
        <is>
          <t>Business and Financial Services</t>
        </is>
      </c>
      <c r="D38" t="inlineStr">
        <is>
          <t>CHE</t>
        </is>
      </c>
      <c r="E38" t="inlineStr">
        <is>
          <t>Switzerland</t>
        </is>
      </c>
      <c r="F38" t="inlineStr">
        <is>
          <t>DEU</t>
        </is>
      </c>
      <c r="G38" t="inlineStr">
        <is>
          <t>Germany</t>
        </is>
      </c>
      <c r="H38" t="n">
        <v>2838860345.63288</v>
      </c>
      <c r="I38" t="n">
        <v>171882297.991593</v>
      </c>
      <c r="J38" t="n">
        <v>46707146.1933676</v>
      </c>
      <c r="K38" t="n">
        <v>2296</v>
      </c>
      <c r="L38" t="n">
        <v>2496964035.49743</v>
      </c>
      <c r="M38" t="n">
        <v>51377860.8127043</v>
      </c>
      <c r="N38" t="n">
        <v>2426903316.20738</v>
      </c>
      <c r="O38" t="n">
        <v>411957029.425502</v>
      </c>
      <c r="P38" t="inlineStr"/>
      <c r="Q38" t="inlineStr"/>
      <c r="R38" t="inlineStr">
        <is>
          <t>EUR</t>
        </is>
      </c>
      <c r="S38" t="n">
        <v>0.2717391304347823</v>
      </c>
      <c r="T38" t="n">
        <v>18.96232048652566</v>
      </c>
      <c r="U38" t="n">
        <v>0.07384215500945161</v>
      </c>
      <c r="V38" t="n">
        <v>7.738923757439457</v>
      </c>
      <c r="W38" t="n">
        <v>21.63834144505559</v>
      </c>
      <c r="X38" t="n">
        <v>19.83642960436352</v>
      </c>
    </row>
    <row r="39">
      <c r="A39" t="inlineStr">
        <is>
          <t>SWISS LIFE</t>
        </is>
      </c>
      <c r="B39" t="n">
        <v>2021</v>
      </c>
      <c r="C39" t="inlineStr">
        <is>
          <t>Business and Financial Services</t>
        </is>
      </c>
      <c r="D39" t="inlineStr">
        <is>
          <t>CHE</t>
        </is>
      </c>
      <c r="E39" t="inlineStr">
        <is>
          <t>Switzerland</t>
        </is>
      </c>
      <c r="F39" t="inlineStr">
        <is>
          <t>DEU</t>
        </is>
      </c>
      <c r="G39" t="inlineStr">
        <is>
          <t>Germany</t>
        </is>
      </c>
      <c r="H39" t="n">
        <v>3225418555.17528</v>
      </c>
      <c r="I39" t="n">
        <v>177596892.054389</v>
      </c>
      <c r="J39" t="n">
        <v>35149384.8857645</v>
      </c>
      <c r="K39" t="n">
        <v>2343</v>
      </c>
      <c r="L39" t="n">
        <v>3004347423.92008</v>
      </c>
      <c r="M39" t="n">
        <v>51799093.5158635</v>
      </c>
      <c r="N39" t="n">
        <v>2748126907.77911</v>
      </c>
      <c r="O39" t="n">
        <v>477291647.396171</v>
      </c>
      <c r="P39" t="inlineStr"/>
      <c r="Q39" t="inlineStr"/>
      <c r="R39" t="inlineStr">
        <is>
          <t>EUR</t>
        </is>
      </c>
      <c r="S39" t="n">
        <v>0.1979166666666667</v>
      </c>
      <c r="T39" t="n">
        <v>18.99502688867546</v>
      </c>
      <c r="U39" t="n">
        <v>0.03917100694444448</v>
      </c>
      <c r="V39" t="n">
        <v>7.759187438507795</v>
      </c>
      <c r="W39" t="n">
        <v>21.82332621792925</v>
      </c>
      <c r="X39" t="n">
        <v>19.98363828212925</v>
      </c>
    </row>
    <row r="40">
      <c r="A40" t="inlineStr">
        <is>
          <t>TELEFONICA</t>
        </is>
      </c>
      <c r="B40" t="n">
        <v>2019</v>
      </c>
      <c r="C40" t="inlineStr">
        <is>
          <t>Communications</t>
        </is>
      </c>
      <c r="D40" t="inlineStr">
        <is>
          <t>ESP</t>
        </is>
      </c>
      <c r="E40" t="inlineStr">
        <is>
          <t>Spain</t>
        </is>
      </c>
      <c r="F40" t="inlineStr">
        <is>
          <t>DEU</t>
        </is>
      </c>
      <c r="G40" t="inlineStr">
        <is>
          <t>Germany</t>
        </is>
      </c>
      <c r="H40" t="n">
        <v>7932000000</v>
      </c>
      <c r="I40" t="n">
        <v>281000000</v>
      </c>
      <c r="J40" t="n">
        <v>52000000</v>
      </c>
      <c r="K40" t="n">
        <v>8235</v>
      </c>
      <c r="L40" t="n">
        <v>3959000000</v>
      </c>
      <c r="M40" t="n">
        <v>81000000</v>
      </c>
      <c r="N40" t="n">
        <v>7870000000</v>
      </c>
      <c r="O40" t="n">
        <v>62000000</v>
      </c>
      <c r="P40" t="inlineStr"/>
      <c r="Q40" t="inlineStr"/>
      <c r="R40" t="inlineStr">
        <is>
          <t>EUR</t>
        </is>
      </c>
      <c r="S40" t="n">
        <v>0.1850533807829181</v>
      </c>
      <c r="T40" t="n">
        <v>19.45386522729802</v>
      </c>
      <c r="U40" t="n">
        <v>0.03424475373918769</v>
      </c>
      <c r="V40" t="n">
        <v>9.016148642611741</v>
      </c>
      <c r="W40" t="n">
        <v>22.09925730507041</v>
      </c>
      <c r="X40" t="n">
        <v>17.94264494300937</v>
      </c>
    </row>
    <row r="41">
      <c r="A41" t="inlineStr">
        <is>
          <t>TELEFONICA</t>
        </is>
      </c>
      <c r="B41" t="n">
        <v>2020</v>
      </c>
      <c r="C41" t="inlineStr">
        <is>
          <t>Communications</t>
        </is>
      </c>
      <c r="D41" t="inlineStr">
        <is>
          <t>ESP</t>
        </is>
      </c>
      <c r="E41" t="inlineStr">
        <is>
          <t>Spain</t>
        </is>
      </c>
      <c r="F41" t="inlineStr">
        <is>
          <t>DEU</t>
        </is>
      </c>
      <c r="G41" t="inlineStr">
        <is>
          <t>Germany</t>
        </is>
      </c>
      <c r="H41" t="n">
        <v>8251000000</v>
      </c>
      <c r="I41" t="n">
        <v>318000000</v>
      </c>
      <c r="J41" t="n">
        <v>52000000</v>
      </c>
      <c r="K41" t="n">
        <v>7980</v>
      </c>
      <c r="L41" t="n">
        <v>4073000000</v>
      </c>
      <c r="M41" t="n">
        <v>-175000000</v>
      </c>
      <c r="N41" t="n">
        <v>8183000000</v>
      </c>
      <c r="O41" t="n">
        <v>68000000</v>
      </c>
      <c r="P41" t="inlineStr"/>
      <c r="Q41" t="inlineStr"/>
      <c r="R41" t="inlineStr">
        <is>
          <t>EUR</t>
        </is>
      </c>
      <c r="S41" t="n">
        <v>0.1635220125786163</v>
      </c>
      <c r="T41" t="n">
        <v>19.57756194074445</v>
      </c>
      <c r="U41" t="n">
        <v>0.02673944859776116</v>
      </c>
      <c r="V41" t="n">
        <v>8.984693690443855</v>
      </c>
      <c r="W41" t="n">
        <v>22.12764566561269</v>
      </c>
      <c r="X41" t="n">
        <v>18.03501826314038</v>
      </c>
    </row>
    <row r="42">
      <c r="A42" t="inlineStr">
        <is>
          <t>TELEFONICA</t>
        </is>
      </c>
      <c r="B42" t="n">
        <v>2021</v>
      </c>
      <c r="C42" t="inlineStr">
        <is>
          <t>Communications</t>
        </is>
      </c>
      <c r="D42" t="inlineStr">
        <is>
          <t>ESP</t>
        </is>
      </c>
      <c r="E42" t="inlineStr">
        <is>
          <t>Spain</t>
        </is>
      </c>
      <c r="F42" t="inlineStr">
        <is>
          <t>DEU</t>
        </is>
      </c>
      <c r="G42" t="inlineStr">
        <is>
          <t>Germany</t>
        </is>
      </c>
      <c r="H42" t="n">
        <v>8711000000</v>
      </c>
      <c r="I42" t="n">
        <v>663000000</v>
      </c>
      <c r="J42" t="n">
        <v>54000000</v>
      </c>
      <c r="K42" t="n">
        <v>7576</v>
      </c>
      <c r="L42" t="n">
        <v>3492000000</v>
      </c>
      <c r="M42" t="n">
        <v>41000000</v>
      </c>
      <c r="N42" t="n">
        <v>8642000000</v>
      </c>
      <c r="O42" t="n">
        <v>69000000</v>
      </c>
      <c r="P42" t="inlineStr"/>
      <c r="Q42" t="inlineStr"/>
      <c r="R42" t="inlineStr">
        <is>
          <t>EUR</t>
        </is>
      </c>
      <c r="S42" t="n">
        <v>0.08144796380090498</v>
      </c>
      <c r="T42" t="n">
        <v>20.31228554815014</v>
      </c>
      <c r="U42" t="n">
        <v>0.006633770807313528</v>
      </c>
      <c r="V42" t="n">
        <v>8.932740634865914</v>
      </c>
      <c r="W42" t="n">
        <v>21.97374047492377</v>
      </c>
      <c r="X42" t="n">
        <v>18.04961706256153</v>
      </c>
    </row>
    <row r="43">
      <c r="A43" t="inlineStr">
        <is>
          <t>TOTALENERGIES</t>
        </is>
      </c>
      <c r="B43" t="n">
        <v>2019</v>
      </c>
      <c r="C43" t="inlineStr">
        <is>
          <t>Oil, Gas and Mining</t>
        </is>
      </c>
      <c r="D43" t="inlineStr">
        <is>
          <t>FRA</t>
        </is>
      </c>
      <c r="E43" t="inlineStr">
        <is>
          <t>France</t>
        </is>
      </c>
      <c r="F43" t="inlineStr">
        <is>
          <t>DEU</t>
        </is>
      </c>
      <c r="G43" t="inlineStr">
        <is>
          <t>Germany</t>
        </is>
      </c>
      <c r="H43" t="n">
        <v>33669495310.4064</v>
      </c>
      <c r="I43" t="n">
        <v>439104064.314426</v>
      </c>
      <c r="J43" t="n">
        <v>86516301.9205002</v>
      </c>
      <c r="K43" t="n">
        <v>3993</v>
      </c>
      <c r="L43" t="n">
        <v>1482617239.83921</v>
      </c>
      <c r="M43" t="n">
        <v>89255917.8204556</v>
      </c>
      <c r="N43" t="n">
        <v>16672727110.3171</v>
      </c>
      <c r="O43" t="n">
        <v>16996768200.0893</v>
      </c>
      <c r="P43" t="n">
        <v>961637338.097365</v>
      </c>
      <c r="Q43" t="n">
        <v>2765655203.21572</v>
      </c>
      <c r="R43" t="inlineStr">
        <is>
          <t>EUR</t>
        </is>
      </c>
      <c r="S43" t="n">
        <v>0.1970291531133475</v>
      </c>
      <c r="T43" t="n">
        <v>19.9002469915001</v>
      </c>
      <c r="U43" t="n">
        <v>0.03882048717656292</v>
      </c>
      <c r="V43" t="n">
        <v>8.292298107063221</v>
      </c>
      <c r="W43" t="n">
        <v>21.11707476823153</v>
      </c>
      <c r="X43" t="n">
        <v>23.55628905705311</v>
      </c>
    </row>
    <row r="44">
      <c r="A44" t="inlineStr">
        <is>
          <t>TOTALENERGIES</t>
        </is>
      </c>
      <c r="B44" t="n">
        <v>2021</v>
      </c>
      <c r="C44" t="inlineStr">
        <is>
          <t>Oil, Gas and Mining</t>
        </is>
      </c>
      <c r="D44" t="inlineStr">
        <is>
          <t>FRA</t>
        </is>
      </c>
      <c r="E44" t="inlineStr">
        <is>
          <t>France</t>
        </is>
      </c>
      <c r="F44" t="inlineStr">
        <is>
          <t>DEU</t>
        </is>
      </c>
      <c r="G44" t="inlineStr">
        <is>
          <t>Germany</t>
        </is>
      </c>
      <c r="H44" t="n">
        <v>29059930667.1176</v>
      </c>
      <c r="I44" t="n">
        <v>266117358.586286</v>
      </c>
      <c r="J44" t="n">
        <v>53533440.4329078</v>
      </c>
      <c r="K44" t="n">
        <v>4663</v>
      </c>
      <c r="L44" t="n">
        <v>1641984442.37761</v>
      </c>
      <c r="M44" t="n">
        <v>66963727.0651898</v>
      </c>
      <c r="N44" t="n">
        <v>14662590682.337</v>
      </c>
      <c r="O44" t="n">
        <v>14397339984.7806</v>
      </c>
      <c r="P44" t="n">
        <v>915843409.148558</v>
      </c>
      <c r="Q44" t="n">
        <v>1768784137.98935</v>
      </c>
      <c r="R44" t="inlineStr">
        <is>
          <t>EUR</t>
        </is>
      </c>
      <c r="S44" t="n">
        <v>0.2011647820243567</v>
      </c>
      <c r="T44" t="n">
        <v>19.39944796713969</v>
      </c>
      <c r="U44" t="n">
        <v>0.04046726952690696</v>
      </c>
      <c r="V44" t="n">
        <v>8.44741429680832</v>
      </c>
      <c r="W44" t="n">
        <v>21.21917137313128</v>
      </c>
      <c r="X44" t="n">
        <v>23.39030930318579</v>
      </c>
    </row>
    <row r="45">
      <c r="A45" t="inlineStr">
        <is>
          <t>VODAFONE</t>
        </is>
      </c>
      <c r="B45" t="n">
        <v>2018</v>
      </c>
      <c r="C45" t="inlineStr">
        <is>
          <t>Communications</t>
        </is>
      </c>
      <c r="D45" t="inlineStr">
        <is>
          <t>GBR</t>
        </is>
      </c>
      <c r="E45" t="inlineStr">
        <is>
          <t>United Kingdom</t>
        </is>
      </c>
      <c r="F45" t="inlineStr">
        <is>
          <t>DEU</t>
        </is>
      </c>
      <c r="G45" t="inlineStr">
        <is>
          <t>Germany</t>
        </is>
      </c>
      <c r="H45" t="n">
        <v>11577213742</v>
      </c>
      <c r="I45" t="n">
        <v>387465539</v>
      </c>
      <c r="J45" t="n">
        <v>86589439</v>
      </c>
      <c r="K45" t="n">
        <v>14946</v>
      </c>
      <c r="L45" t="n">
        <v>7744146631</v>
      </c>
      <c r="M45" t="n">
        <v>117677243</v>
      </c>
      <c r="N45" t="n">
        <v>10933178838</v>
      </c>
      <c r="O45" t="n">
        <v>644034904</v>
      </c>
      <c r="P45" t="n">
        <v>4478357622</v>
      </c>
      <c r="Q45" t="n">
        <v>-12950578874</v>
      </c>
      <c r="R45" t="inlineStr">
        <is>
          <t>EUR</t>
        </is>
      </c>
      <c r="S45" t="n">
        <v>0.2234764908989751</v>
      </c>
      <c r="T45" t="n">
        <v>19.77513747119012</v>
      </c>
      <c r="U45" t="n">
        <v>0.04994174198451972</v>
      </c>
      <c r="V45" t="n">
        <v>9.612198984490236</v>
      </c>
      <c r="W45" t="n">
        <v>22.77020312152965</v>
      </c>
      <c r="X45" t="n">
        <v>20.28326348135769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Accrued Analysis ***</t>
        </is>
      </c>
    </row>
    <row r="2">
      <c r="A2" t="inlineStr"/>
    </row>
    <row r="3">
      <c r="A3">
        <f>=============================</f>
        <v/>
      </c>
    </row>
    <row r="4">
      <c r="A4" t="inlineStr">
        <is>
          <t>Accrued M1</t>
        </is>
      </c>
    </row>
    <row r="5">
      <c r="A5">
        <f>=============================</f>
        <v/>
      </c>
    </row>
    <row r="6">
      <c r="A6" t="inlineStr">
        <is>
          <t xml:space="preserve">                            OLS Regression Results                            </t>
        </is>
      </c>
    </row>
    <row r="7">
      <c r="A7">
        <f>=============================================================================</f>
        <v/>
      </c>
    </row>
    <row r="8">
      <c r="A8" t="inlineStr">
        <is>
          <t>Dep. Variable:             ln_profits   R-squared:                       0.042</t>
        </is>
      </c>
    </row>
    <row r="9">
      <c r="A9" t="inlineStr">
        <is>
          <t>Model:                            OLS   Adj. R-squared:                  0.029</t>
        </is>
      </c>
    </row>
    <row r="10">
      <c r="A10" t="inlineStr">
        <is>
          <t>Method:                 Least Squares   F-statistic:                     3.248</t>
        </is>
      </c>
    </row>
    <row r="11">
      <c r="A11" t="inlineStr">
        <is>
          <t>Date:                Wed, 10 Dec 2025   Prob (F-statistic):             0.0756</t>
        </is>
      </c>
    </row>
    <row r="12">
      <c r="A12" t="inlineStr">
        <is>
          <t>Time:                        16:34:35   Log-Likelihood:                -167.02</t>
        </is>
      </c>
    </row>
    <row r="13">
      <c r="A13" t="inlineStr">
        <is>
          <t>No. Observations:                  76   AIC:                             338.0</t>
        </is>
      </c>
    </row>
    <row r="14">
      <c r="A14" t="inlineStr">
        <is>
          <t>Df Residuals:                      74   BIC:                             342.7</t>
        </is>
      </c>
    </row>
    <row r="15">
      <c r="A15" t="inlineStr">
        <is>
          <t xml:space="preserve">Df Model:                           1                                         </t>
        </is>
      </c>
    </row>
    <row r="16">
      <c r="A16" t="inlineStr">
        <is>
          <t xml:space="preserve">Covariance Type:            nonrobust                                         </t>
        </is>
      </c>
    </row>
    <row r="17">
      <c r="A17">
        <f>=============================================================================</f>
        <v/>
      </c>
    </row>
    <row r="18">
      <c r="A18" t="inlineStr">
        <is>
          <t xml:space="preserve">                 coef    std err          t      P&gt;|t|      [0.025      0.975]</t>
        </is>
      </c>
    </row>
    <row r="19">
      <c r="A19" t="inlineStr">
        <is>
          <t>------------------------------------------------------------------------------</t>
        </is>
      </c>
    </row>
    <row r="20">
      <c r="A20" t="inlineStr">
        <is>
          <t>Intercept     15.8973      0.598     26.594      0.000      14.706      17.088</t>
        </is>
      </c>
    </row>
    <row r="21">
      <c r="A21" t="inlineStr">
        <is>
          <t>ETR            4.4923      2.493      1.802      0.076      -0.474       9.459</t>
        </is>
      </c>
    </row>
    <row r="22">
      <c r="A22">
        <f>=============================================================================</f>
        <v/>
      </c>
    </row>
    <row r="23">
      <c r="A23" t="inlineStr">
        <is>
          <t>Omnibus:                        1.060   Durbin-Watson:                   1.199</t>
        </is>
      </c>
    </row>
    <row r="24">
      <c r="A24" t="inlineStr">
        <is>
          <t>Prob(Omnibus):                  0.589   Jarque-Bera (JB):                0.963</t>
        </is>
      </c>
    </row>
    <row r="25">
      <c r="A25" t="inlineStr">
        <is>
          <t>Skew:                          -0.047   Prob(JB):                        0.618</t>
        </is>
      </c>
    </row>
    <row r="26">
      <c r="A26" t="inlineStr">
        <is>
          <t>Kurtosis:                       2.457   Cond. No.                         10.3</t>
        </is>
      </c>
    </row>
    <row r="27">
      <c r="A27">
        <f>=============================================================================</f>
        <v/>
      </c>
    </row>
    <row r="28">
      <c r="A28" t="inlineStr"/>
    </row>
    <row r="29">
      <c r="A29" t="inlineStr">
        <is>
          <t>Notes:</t>
        </is>
      </c>
    </row>
    <row r="30">
      <c r="A30" t="inlineStr">
        <is>
          <t>[1] Standard Errors assume that the covariance matrix of the errors is correctly specified.</t>
        </is>
      </c>
    </row>
    <row r="31">
      <c r="A31" t="inlineStr"/>
    </row>
    <row r="32">
      <c r="A32">
        <f>=============================</f>
        <v/>
      </c>
    </row>
    <row r="33">
      <c r="A33" t="inlineStr">
        <is>
          <t>Accrued M2</t>
        </is>
      </c>
    </row>
    <row r="34">
      <c r="A34">
        <f>=============================</f>
        <v/>
      </c>
    </row>
    <row r="35">
      <c r="A35" t="inlineStr">
        <is>
          <t xml:space="preserve">                            OLS Regression Results                            </t>
        </is>
      </c>
    </row>
    <row r="36">
      <c r="A36">
        <f>=============================================================================</f>
        <v/>
      </c>
    </row>
    <row r="37">
      <c r="A37" t="inlineStr">
        <is>
          <t>Dep. Variable:             ln_profits   R-squared:                       0.130</t>
        </is>
      </c>
    </row>
    <row r="38">
      <c r="A38" t="inlineStr">
        <is>
          <t>Model:                            OLS   Adj. R-squared:                  0.106</t>
        </is>
      </c>
    </row>
    <row r="39">
      <c r="A39" t="inlineStr">
        <is>
          <t>Method:                 Least Squares   F-statistic:                     5.443</t>
        </is>
      </c>
    </row>
    <row r="40">
      <c r="A40" t="inlineStr">
        <is>
          <t>Date:                Wed, 10 Dec 2025   Prob (F-statistic):            0.00626</t>
        </is>
      </c>
    </row>
    <row r="41">
      <c r="A41" t="inlineStr">
        <is>
          <t>Time:                        16:34:35   Log-Likelihood:                -163.37</t>
        </is>
      </c>
    </row>
    <row r="42">
      <c r="A42" t="inlineStr">
        <is>
          <t>No. Observations:                  76   AIC:                             332.7</t>
        </is>
      </c>
    </row>
    <row r="43">
      <c r="A43" t="inlineStr">
        <is>
          <t>Df Residuals:                      73   BIC:                             339.7</t>
        </is>
      </c>
    </row>
    <row r="44">
      <c r="A44" t="inlineStr">
        <is>
          <t xml:space="preserve">Df Model:                           2                                         </t>
        </is>
      </c>
    </row>
    <row r="45">
      <c r="A45" t="inlineStr">
        <is>
          <t xml:space="preserve">Covariance Type:            nonrobust                                         </t>
        </is>
      </c>
    </row>
    <row r="46">
      <c r="A46">
        <f>=============================================================================</f>
        <v/>
      </c>
    </row>
    <row r="47">
      <c r="A47" t="inlineStr">
        <is>
          <t xml:space="preserve">                 coef    std err          t      P&gt;|t|      [0.025      0.975]</t>
        </is>
      </c>
    </row>
    <row r="48">
      <c r="A48" t="inlineStr">
        <is>
          <t>------------------------------------------------------------------------------</t>
        </is>
      </c>
    </row>
    <row r="49">
      <c r="A49" t="inlineStr">
        <is>
          <t>Intercept     14.5052      0.770     18.846      0.000      12.971      16.039</t>
        </is>
      </c>
    </row>
    <row r="50">
      <c r="A50" t="inlineStr">
        <is>
          <t>ETR           28.6593      9.224      3.107      0.003      10.275      47.043</t>
        </is>
      </c>
    </row>
    <row r="51">
      <c r="A51" t="inlineStr">
        <is>
          <t>ETR_sq       -67.0758     24.726     -2.713      0.008    -116.355     -17.797</t>
        </is>
      </c>
    </row>
    <row r="52">
      <c r="A52">
        <f>=============================================================================</f>
        <v/>
      </c>
    </row>
    <row r="53">
      <c r="A53" t="inlineStr">
        <is>
          <t>Omnibus:                        0.925   Durbin-Watson:                   1.256</t>
        </is>
      </c>
    </row>
    <row r="54">
      <c r="A54" t="inlineStr">
        <is>
          <t>Prob(Omnibus):                  0.630   Jarque-Bera (JB):                0.757</t>
        </is>
      </c>
    </row>
    <row r="55">
      <c r="A55" t="inlineStr">
        <is>
          <t>Skew:                          -0.243   Prob(JB):                        0.685</t>
        </is>
      </c>
    </row>
    <row r="56">
      <c r="A56" t="inlineStr">
        <is>
          <t>Kurtosis:                       2.951   Cond. No.                         111.</t>
        </is>
      </c>
    </row>
    <row r="57">
      <c r="A57">
        <f>=============================================================================</f>
        <v/>
      </c>
    </row>
    <row r="58">
      <c r="A58" t="inlineStr"/>
    </row>
    <row r="59">
      <c r="A59" t="inlineStr">
        <is>
          <t>Notes:</t>
        </is>
      </c>
    </row>
    <row r="60">
      <c r="A60" t="inlineStr">
        <is>
          <t>[1] Standard Errors assume that the covariance matrix of the errors is correctly specified.</t>
        </is>
      </c>
    </row>
    <row r="61">
      <c r="A61" t="inlineStr"/>
    </row>
    <row r="62">
      <c r="A62" t="inlineStr">
        <is>
          <t>[U-Test] Shape: Inverted U, Turning Point: 0.2136</t>
        </is>
      </c>
    </row>
    <row r="63">
      <c r="A63" t="inlineStr"/>
    </row>
    <row r="64">
      <c r="A64">
        <f>=============================</f>
        <v/>
      </c>
    </row>
    <row r="65">
      <c r="A65" t="inlineStr">
        <is>
          <t>Accrued M3</t>
        </is>
      </c>
    </row>
    <row r="66">
      <c r="A66">
        <f>=============================</f>
        <v/>
      </c>
    </row>
    <row r="67">
      <c r="A67" t="inlineStr">
        <is>
          <t xml:space="preserve">                            OLS Regression Results                            </t>
        </is>
      </c>
    </row>
    <row r="68">
      <c r="A68">
        <f>=============================================================================</f>
        <v/>
      </c>
    </row>
    <row r="69">
      <c r="A69" t="inlineStr">
        <is>
          <t>Dep. Variable:             ln_profits   R-squared:                       0.807</t>
        </is>
      </c>
    </row>
    <row r="70">
      <c r="A70" t="inlineStr">
        <is>
          <t>Model:                            OLS   Adj. R-squared:                  0.788</t>
        </is>
      </c>
    </row>
    <row r="71">
      <c r="A71" t="inlineStr">
        <is>
          <t>Method:                 Least Squares   F-statistic:                     40.85</t>
        </is>
      </c>
    </row>
    <row r="72">
      <c r="A72" t="inlineStr">
        <is>
          <t>Date:                Wed, 10 Dec 2025   Prob (F-statistic):           1.90e-13</t>
        </is>
      </c>
    </row>
    <row r="73">
      <c r="A73" t="inlineStr">
        <is>
          <t>Time:                        16:34:35   Log-Likelihood:                -57.014</t>
        </is>
      </c>
    </row>
    <row r="74">
      <c r="A74" t="inlineStr">
        <is>
          <t>No. Observations:                  44   AIC:                             124.0</t>
        </is>
      </c>
    </row>
    <row r="75">
      <c r="A75" t="inlineStr">
        <is>
          <t>Df Residuals:                      39   BIC:                             132.9</t>
        </is>
      </c>
    </row>
    <row r="76">
      <c r="A76" t="inlineStr">
        <is>
          <t xml:space="preserve">Df Model:                           4                                         </t>
        </is>
      </c>
    </row>
    <row r="77">
      <c r="A77" t="inlineStr">
        <is>
          <t xml:space="preserve">Covariance Type:            nonrobust                                         </t>
        </is>
      </c>
    </row>
    <row r="78">
      <c r="A78">
        <f>======================================================================================</f>
        <v/>
      </c>
    </row>
    <row r="79">
      <c r="A79" t="inlineStr">
        <is>
          <t xml:space="preserve">                          coef    std err          t      P&gt;|t|      [0.025      0.975]</t>
        </is>
      </c>
    </row>
    <row r="80">
      <c r="A80" t="inlineStr">
        <is>
          <t>---------------------------------------------------------------------------------------</t>
        </is>
      </c>
    </row>
    <row r="81">
      <c r="A81" t="inlineStr">
        <is>
          <t>Intercept               5.8290      1.082      5.389      0.000       3.641       8.017</t>
        </is>
      </c>
    </row>
    <row r="82">
      <c r="A82" t="inlineStr">
        <is>
          <t>ETR                    -3.9781      1.623     -2.451      0.019      -7.261      -0.696</t>
        </is>
      </c>
    </row>
    <row r="83">
      <c r="A83" t="inlineStr">
        <is>
          <t>ln_employees            0.0834      0.127      0.658      0.514      -0.173       0.340</t>
        </is>
      </c>
    </row>
    <row r="84">
      <c r="A84" t="inlineStr">
        <is>
          <t>ln_tangible_assets      0.3443      0.081      4.275      0.000       0.181       0.507</t>
        </is>
      </c>
    </row>
    <row r="85">
      <c r="A85" t="inlineStr">
        <is>
          <t>ln_related_revenues     0.3146      0.074      4.231      0.000       0.164       0.465</t>
        </is>
      </c>
    </row>
    <row r="86">
      <c r="A86">
        <f>=============================================================================</f>
        <v/>
      </c>
    </row>
    <row r="87">
      <c r="A87" t="inlineStr">
        <is>
          <t>Omnibus:                        5.280   Durbin-Watson:                   2.262</t>
        </is>
      </c>
    </row>
    <row r="88">
      <c r="A88" t="inlineStr">
        <is>
          <t>Prob(Omnibus):                  0.071   Jarque-Bera (JB):                4.060</t>
        </is>
      </c>
    </row>
    <row r="89">
      <c r="A89" t="inlineStr">
        <is>
          <t>Skew:                          -0.688   Prob(JB):                        0.131</t>
        </is>
      </c>
    </row>
    <row r="90">
      <c r="A90" t="inlineStr">
        <is>
          <t>Kurtosis:                       3.567   Cond. No.                         307.</t>
        </is>
      </c>
    </row>
    <row r="91">
      <c r="A91">
        <f>=============================================================================</f>
        <v/>
      </c>
    </row>
    <row r="92">
      <c r="A92" t="inlineStr"/>
    </row>
    <row r="93">
      <c r="A93" t="inlineStr">
        <is>
          <t>Notes:</t>
        </is>
      </c>
    </row>
    <row r="94">
      <c r="A94" t="inlineStr">
        <is>
          <t>[1] Standard Errors assume that the covariance matrix of the errors is correctly specified.</t>
        </is>
      </c>
    </row>
    <row r="95">
      <c r="A95" t="inlineStr"/>
    </row>
    <row r="96">
      <c r="A96">
        <f>=============================</f>
        <v/>
      </c>
    </row>
    <row r="97">
      <c r="A97" t="inlineStr">
        <is>
          <t>Accrued M4</t>
        </is>
      </c>
    </row>
    <row r="98">
      <c r="A98">
        <f>=============================</f>
        <v/>
      </c>
    </row>
    <row r="99">
      <c r="A99" t="inlineStr">
        <is>
          <t xml:space="preserve">                            OLS Regression Results                            </t>
        </is>
      </c>
    </row>
    <row r="100">
      <c r="A100">
        <f>=============================================================================</f>
        <v/>
      </c>
    </row>
    <row r="101">
      <c r="A101" t="inlineStr">
        <is>
          <t>Dep. Variable:             ln_profits   R-squared:                       0.810</t>
        </is>
      </c>
    </row>
    <row r="102">
      <c r="A102" t="inlineStr">
        <is>
          <t>Model:                            OLS   Adj. R-squared:                  0.785</t>
        </is>
      </c>
    </row>
    <row r="103">
      <c r="A103" t="inlineStr">
        <is>
          <t>Method:                 Least Squares   F-statistic:                     32.41</t>
        </is>
      </c>
    </row>
    <row r="104">
      <c r="A104" t="inlineStr">
        <is>
          <t>Date:                Wed, 10 Dec 2025   Prob (F-statistic):           1.00e-12</t>
        </is>
      </c>
    </row>
    <row r="105">
      <c r="A105" t="inlineStr">
        <is>
          <t>Time:                        16:34:35   Log-Likelihood:                -56.699</t>
        </is>
      </c>
    </row>
    <row r="106">
      <c r="A106" t="inlineStr">
        <is>
          <t>No. Observations:                  44   AIC:                             125.4</t>
        </is>
      </c>
    </row>
    <row r="107">
      <c r="A107" t="inlineStr">
        <is>
          <t>Df Residuals:                      38   BIC:                             136.1</t>
        </is>
      </c>
    </row>
    <row r="108">
      <c r="A108" t="inlineStr">
        <is>
          <t xml:space="preserve">Df Model:                           5                                         </t>
        </is>
      </c>
    </row>
    <row r="109">
      <c r="A109" t="inlineStr">
        <is>
          <t xml:space="preserve">Covariance Type:            nonrobust                                         </t>
        </is>
      </c>
    </row>
    <row r="110">
      <c r="A110">
        <f>======================================================================================</f>
        <v/>
      </c>
    </row>
    <row r="111">
      <c r="A111" t="inlineStr">
        <is>
          <t xml:space="preserve">                          coef    std err          t      P&gt;|t|      [0.025      0.975]</t>
        </is>
      </c>
    </row>
    <row r="112">
      <c r="A112" t="inlineStr">
        <is>
          <t>---------------------------------------------------------------------------------------</t>
        </is>
      </c>
    </row>
    <row r="113">
      <c r="A113" t="inlineStr">
        <is>
          <t>Intercept               5.6166      1.125      4.991      0.000       3.339       7.895</t>
        </is>
      </c>
    </row>
    <row r="114">
      <c r="A114" t="inlineStr">
        <is>
          <t>ETR                     1.4981      7.578      0.198      0.844     -13.844      16.840</t>
        </is>
      </c>
    </row>
    <row r="115">
      <c r="A115" t="inlineStr">
        <is>
          <t>ETR_sq                -14.7561     19.941     -0.740      0.464     -55.125      25.613</t>
        </is>
      </c>
    </row>
    <row r="116">
      <c r="A116" t="inlineStr">
        <is>
          <t>ln_employees            0.0787      0.128      0.617      0.541      -0.180       0.337</t>
        </is>
      </c>
    </row>
    <row r="117">
      <c r="A117" t="inlineStr">
        <is>
          <t>ln_tangible_assets      0.3406      0.081      4.198      0.000       0.176       0.505</t>
        </is>
      </c>
    </row>
    <row r="118">
      <c r="A118" t="inlineStr">
        <is>
          <t>ln_related_revenues     0.3126      0.075      4.177      0.000       0.161       0.464</t>
        </is>
      </c>
    </row>
    <row r="119">
      <c r="A119">
        <f>=============================================================================</f>
        <v/>
      </c>
    </row>
    <row r="120">
      <c r="A120" t="inlineStr">
        <is>
          <t>Omnibus:                        4.808   Durbin-Watson:                   2.225</t>
        </is>
      </c>
    </row>
    <row r="121">
      <c r="A121" t="inlineStr">
        <is>
          <t>Prob(Omnibus):                  0.090   Jarque-Bera (JB):                3.772</t>
        </is>
      </c>
    </row>
    <row r="122">
      <c r="A122" t="inlineStr">
        <is>
          <t>Skew:                          -0.696   Prob(JB):                        0.152</t>
        </is>
      </c>
    </row>
    <row r="123">
      <c r="A123" t="inlineStr">
        <is>
          <t>Kurtosis:                       3.344   Cond. No.                     4.00e+03</t>
        </is>
      </c>
    </row>
    <row r="124">
      <c r="A124">
        <f>=============================================================================</f>
        <v/>
      </c>
    </row>
    <row r="125">
      <c r="A125" t="inlineStr"/>
    </row>
    <row r="126">
      <c r="A126" t="inlineStr">
        <is>
          <t>Notes:</t>
        </is>
      </c>
    </row>
    <row r="127">
      <c r="A127" t="inlineStr">
        <is>
          <t>[1] Standard Errors assume that the covariance matrix of the errors is correctly specified.</t>
        </is>
      </c>
    </row>
    <row r="128">
      <c r="A128" t="inlineStr">
        <is>
          <t>[2] The condition number is large,  4e+03. This might indicate that there are</t>
        </is>
      </c>
    </row>
    <row r="129">
      <c r="A129" t="inlineStr">
        <is>
          <t>strong multicollinearity or other numerical problems.</t>
        </is>
      </c>
    </row>
    <row r="130">
      <c r="A130" t="inlineStr"/>
    </row>
    <row r="131">
      <c r="A131" t="inlineStr">
        <is>
          <t>[U-Test] Shape: Inverted U, Turning Point: 0.0508</t>
        </is>
      </c>
    </row>
    <row r="132">
      <c r="A132" t="inlineStr">
        <is>
          <t>*** Paid Analysis ***</t>
        </is>
      </c>
    </row>
    <row r="133">
      <c r="A133" t="inlineStr"/>
    </row>
    <row r="134">
      <c r="A134">
        <f>=============================</f>
        <v/>
      </c>
    </row>
    <row r="135">
      <c r="A135" t="inlineStr">
        <is>
          <t>Paid M1</t>
        </is>
      </c>
    </row>
    <row r="136">
      <c r="A136">
        <f>=============================</f>
        <v/>
      </c>
    </row>
    <row r="137">
      <c r="A137" t="inlineStr">
        <is>
          <t xml:space="preserve">                            OLS Regression Results                            </t>
        </is>
      </c>
    </row>
    <row r="138">
      <c r="A138">
        <f>=============================================================================</f>
        <v/>
      </c>
    </row>
    <row r="139">
      <c r="A139" t="inlineStr">
        <is>
          <t>Dep. Variable:             ln_profits   R-squared:                       0.045</t>
        </is>
      </c>
    </row>
    <row r="140">
      <c r="A140" t="inlineStr">
        <is>
          <t>Model:                            OLS   Adj. R-squared:                  0.031</t>
        </is>
      </c>
    </row>
    <row r="141">
      <c r="A141" t="inlineStr">
        <is>
          <t>Method:                 Least Squares   F-statistic:                     3.203</t>
        </is>
      </c>
    </row>
    <row r="142">
      <c r="A142" t="inlineStr">
        <is>
          <t>Date:                Wed, 10 Dec 2025   Prob (F-statistic):             0.0780</t>
        </is>
      </c>
    </row>
    <row r="143">
      <c r="A143" t="inlineStr">
        <is>
          <t>Time:                        16:34:35   Log-Likelihood:                -160.32</t>
        </is>
      </c>
    </row>
    <row r="144">
      <c r="A144" t="inlineStr">
        <is>
          <t>No. Observations:                  70   AIC:                             324.6</t>
        </is>
      </c>
    </row>
    <row r="145">
      <c r="A145" t="inlineStr">
        <is>
          <t>Df Residuals:                      68   BIC:                             329.1</t>
        </is>
      </c>
    </row>
    <row r="146">
      <c r="A146" t="inlineStr">
        <is>
          <t xml:space="preserve">Df Model:                           1                                         </t>
        </is>
      </c>
    </row>
    <row r="147">
      <c r="A147" t="inlineStr">
        <is>
          <t xml:space="preserve">Covariance Type:            nonrobust                                         </t>
        </is>
      </c>
    </row>
    <row r="148">
      <c r="A148">
        <f>=============================================================================</f>
        <v/>
      </c>
    </row>
    <row r="149">
      <c r="A149" t="inlineStr">
        <is>
          <t xml:space="preserve">                 coef    std err          t      P&gt;|t|      [0.025      0.975]</t>
        </is>
      </c>
    </row>
    <row r="150">
      <c r="A150" t="inlineStr">
        <is>
          <t>------------------------------------------------------------------------------</t>
        </is>
      </c>
    </row>
    <row r="151">
      <c r="A151" t="inlineStr">
        <is>
          <t>Intercept     16.0487      0.537     29.871      0.000      14.977      17.121</t>
        </is>
      </c>
    </row>
    <row r="152">
      <c r="A152" t="inlineStr">
        <is>
          <t>ETR            4.2472      2.373      1.790      0.078      -0.489       8.983</t>
        </is>
      </c>
    </row>
    <row r="153">
      <c r="A153">
        <f>=============================================================================</f>
        <v/>
      </c>
    </row>
    <row r="154">
      <c r="A154" t="inlineStr">
        <is>
          <t>Omnibus:                        2.584   Durbin-Watson:                   1.389</t>
        </is>
      </c>
    </row>
    <row r="155">
      <c r="A155" t="inlineStr">
        <is>
          <t>Prob(Omnibus):                  0.275   Jarque-Bera (JB):                2.312</t>
        </is>
      </c>
    </row>
    <row r="156">
      <c r="A156" t="inlineStr">
        <is>
          <t>Skew:                          -0.444   Prob(JB):                        0.315</t>
        </is>
      </c>
    </row>
    <row r="157">
      <c r="A157" t="inlineStr">
        <is>
          <t>Kurtosis:                       2.924   Cond. No.                         8.49</t>
        </is>
      </c>
    </row>
    <row r="158">
      <c r="A158">
        <f>=============================================================================</f>
        <v/>
      </c>
    </row>
    <row r="159">
      <c r="A159" t="inlineStr"/>
    </row>
    <row r="160">
      <c r="A160" t="inlineStr">
        <is>
          <t>Notes:</t>
        </is>
      </c>
    </row>
    <row r="161">
      <c r="A161" t="inlineStr">
        <is>
          <t>[1] Standard Errors assume that the covariance matrix of the errors is correctly specified.</t>
        </is>
      </c>
    </row>
    <row r="162">
      <c r="A162" t="inlineStr"/>
    </row>
    <row r="163">
      <c r="A163">
        <f>=============================</f>
        <v/>
      </c>
    </row>
    <row r="164">
      <c r="A164" t="inlineStr">
        <is>
          <t>Paid M2</t>
        </is>
      </c>
    </row>
    <row r="165">
      <c r="A165">
        <f>=============================</f>
        <v/>
      </c>
    </row>
    <row r="166">
      <c r="A166" t="inlineStr">
        <is>
          <t xml:space="preserve">                            OLS Regression Results                            </t>
        </is>
      </c>
    </row>
    <row r="167">
      <c r="A167">
        <f>=============================================================================</f>
        <v/>
      </c>
    </row>
    <row r="168">
      <c r="A168" t="inlineStr">
        <is>
          <t>Dep. Variable:             ln_profits   R-squared:                       0.045</t>
        </is>
      </c>
    </row>
    <row r="169">
      <c r="A169" t="inlineStr">
        <is>
          <t>Model:                            OLS   Adj. R-squared:                  0.016</t>
        </is>
      </c>
    </row>
    <row r="170">
      <c r="A170" t="inlineStr">
        <is>
          <t>Method:                 Least Squares   F-statistic:                     1.578</t>
        </is>
      </c>
    </row>
    <row r="171">
      <c r="A171" t="inlineStr">
        <is>
          <t>Date:                Wed, 10 Dec 2025   Prob (F-statistic):              0.214</t>
        </is>
      </c>
    </row>
    <row r="172">
      <c r="A172" t="inlineStr">
        <is>
          <t>Time:                        16:34:35   Log-Likelihood:                -160.32</t>
        </is>
      </c>
    </row>
    <row r="173">
      <c r="A173" t="inlineStr">
        <is>
          <t>No. Observations:                  70   AIC:                             326.6</t>
        </is>
      </c>
    </row>
    <row r="174">
      <c r="A174" t="inlineStr">
        <is>
          <t>Df Residuals:                      67   BIC:                             333.4</t>
        </is>
      </c>
    </row>
    <row r="175">
      <c r="A175" t="inlineStr">
        <is>
          <t xml:space="preserve">Df Model:                           2                                         </t>
        </is>
      </c>
    </row>
    <row r="176">
      <c r="A176" t="inlineStr">
        <is>
          <t xml:space="preserve">Covariance Type:            nonrobust                                         </t>
        </is>
      </c>
    </row>
    <row r="177">
      <c r="A177">
        <f>=============================================================================</f>
        <v/>
      </c>
    </row>
    <row r="178">
      <c r="A178" t="inlineStr">
        <is>
          <t xml:space="preserve">                 coef    std err          t      P&gt;|t|      [0.025      0.975]</t>
        </is>
      </c>
    </row>
    <row r="179">
      <c r="A179" t="inlineStr">
        <is>
          <t>------------------------------------------------------------------------------</t>
        </is>
      </c>
    </row>
    <row r="180">
      <c r="A180" t="inlineStr">
        <is>
          <t>Intercept     16.0433      0.706     22.720      0.000      14.634      17.453</t>
        </is>
      </c>
    </row>
    <row r="181">
      <c r="A181" t="inlineStr">
        <is>
          <t>ETR            4.3311      7.443      0.582      0.563     -10.524      19.186</t>
        </is>
      </c>
    </row>
    <row r="182">
      <c r="A182" t="inlineStr">
        <is>
          <t>ETR_sq        -0.2068     17.365     -0.012      0.991     -34.867      34.453</t>
        </is>
      </c>
    </row>
    <row r="183">
      <c r="A183">
        <f>=============================================================================</f>
        <v/>
      </c>
    </row>
    <row r="184">
      <c r="A184" t="inlineStr">
        <is>
          <t>Omnibus:                        2.576   Durbin-Watson:                   1.389</t>
        </is>
      </c>
    </row>
    <row r="185">
      <c r="A185" t="inlineStr">
        <is>
          <t>Prob(Omnibus):                  0.276   Jarque-Bera (JB):                2.308</t>
        </is>
      </c>
    </row>
    <row r="186">
      <c r="A186" t="inlineStr">
        <is>
          <t>Skew:                          -0.443   Prob(JB):                        0.315</t>
        </is>
      </c>
    </row>
    <row r="187">
      <c r="A187" t="inlineStr">
        <is>
          <t>Kurtosis:                       2.921   Cond. No.                         65.5</t>
        </is>
      </c>
    </row>
    <row r="188">
      <c r="A188">
        <f>=============================================================================</f>
        <v/>
      </c>
    </row>
    <row r="189">
      <c r="A189" t="inlineStr"/>
    </row>
    <row r="190">
      <c r="A190" t="inlineStr">
        <is>
          <t>Notes:</t>
        </is>
      </c>
    </row>
    <row r="191">
      <c r="A191" t="inlineStr">
        <is>
          <t>[1] Standard Errors assume that the covariance matrix of the errors is correctly specified.</t>
        </is>
      </c>
    </row>
    <row r="192">
      <c r="A192" t="inlineStr"/>
    </row>
    <row r="193">
      <c r="A193" t="inlineStr">
        <is>
          <t>[U-Test] Shape: Inverted U, Turning Point: 10.4735</t>
        </is>
      </c>
    </row>
    <row r="194">
      <c r="A194" t="inlineStr"/>
    </row>
    <row r="195">
      <c r="A195">
        <f>=============================</f>
        <v/>
      </c>
    </row>
    <row r="196">
      <c r="A196" t="inlineStr">
        <is>
          <t>Paid M3</t>
        </is>
      </c>
    </row>
    <row r="197">
      <c r="A197">
        <f>=============================</f>
        <v/>
      </c>
    </row>
    <row r="198">
      <c r="A198" t="inlineStr">
        <is>
          <t xml:space="preserve">                            OLS Regression Results                            </t>
        </is>
      </c>
    </row>
    <row r="199">
      <c r="A199">
        <f>=============================================================================</f>
        <v/>
      </c>
    </row>
    <row r="200">
      <c r="A200" t="inlineStr">
        <is>
          <t>Dep. Variable:             ln_profits   R-squared:                       0.861</t>
        </is>
      </c>
    </row>
    <row r="201">
      <c r="A201" t="inlineStr">
        <is>
          <t>Model:                            OLS   Adj. R-squared:                  0.846</t>
        </is>
      </c>
    </row>
    <row r="202">
      <c r="A202" t="inlineStr">
        <is>
          <t>Method:                 Least Squares   F-statistic:                     60.18</t>
        </is>
      </c>
    </row>
    <row r="203">
      <c r="A203" t="inlineStr">
        <is>
          <t>Date:                Wed, 10 Dec 2025   Prob (F-statistic):           3.67e-16</t>
        </is>
      </c>
    </row>
    <row r="204">
      <c r="A204" t="inlineStr">
        <is>
          <t>Time:                        16:34:35   Log-Likelihood:                -58.269</t>
        </is>
      </c>
    </row>
    <row r="205">
      <c r="A205" t="inlineStr">
        <is>
          <t>No. Observations:                  44   AIC:                             126.5</t>
        </is>
      </c>
    </row>
    <row r="206">
      <c r="A206" t="inlineStr">
        <is>
          <t>Df Residuals:                      39   BIC:                             135.5</t>
        </is>
      </c>
    </row>
    <row r="207">
      <c r="A207" t="inlineStr">
        <is>
          <t xml:space="preserve">Df Model:                           4                                         </t>
        </is>
      </c>
    </row>
    <row r="208">
      <c r="A208" t="inlineStr">
        <is>
          <t xml:space="preserve">Covariance Type:            nonrobust                                         </t>
        </is>
      </c>
    </row>
    <row r="209">
      <c r="A209">
        <f>======================================================================================</f>
        <v/>
      </c>
    </row>
    <row r="210">
      <c r="A210" t="inlineStr">
        <is>
          <t xml:space="preserve">                          coef    std err          t      P&gt;|t|      [0.025      0.975]</t>
        </is>
      </c>
    </row>
    <row r="211">
      <c r="A211" t="inlineStr">
        <is>
          <t>---------------------------------------------------------------------------------------</t>
        </is>
      </c>
    </row>
    <row r="212">
      <c r="A212" t="inlineStr">
        <is>
          <t>Intercept               4.8453      1.011      4.792      0.000       2.800       6.890</t>
        </is>
      </c>
    </row>
    <row r="213">
      <c r="A213" t="inlineStr">
        <is>
          <t>ETR                    -2.4557      1.197     -2.052      0.047      -4.877      -0.035</t>
        </is>
      </c>
    </row>
    <row r="214">
      <c r="A214" t="inlineStr">
        <is>
          <t>ln_employees            0.1080      0.127      0.850      0.401      -0.149       0.365</t>
        </is>
      </c>
    </row>
    <row r="215">
      <c r="A215" t="inlineStr">
        <is>
          <t>ln_tangible_assets      0.3430      0.065      5.290      0.000       0.212       0.474</t>
        </is>
      </c>
    </row>
    <row r="216">
      <c r="A216" t="inlineStr">
        <is>
          <t>ln_related_revenues     0.3397      0.074      4.572      0.000       0.189       0.490</t>
        </is>
      </c>
    </row>
    <row r="217">
      <c r="A217">
        <f>=============================================================================</f>
        <v/>
      </c>
    </row>
    <row r="218">
      <c r="A218" t="inlineStr">
        <is>
          <t>Omnibus:                        4.395   Durbin-Watson:                   1.731</t>
        </is>
      </c>
    </row>
    <row r="219">
      <c r="A219" t="inlineStr">
        <is>
          <t>Prob(Omnibus):                  0.111   Jarque-Bera (JB):                3.179</t>
        </is>
      </c>
    </row>
    <row r="220">
      <c r="A220" t="inlineStr">
        <is>
          <t>Skew:                          -0.520   Prob(JB):                        0.204</t>
        </is>
      </c>
    </row>
    <row r="221">
      <c r="A221" t="inlineStr">
        <is>
          <t>Kurtosis:                       3.809   Cond. No.                         219.</t>
        </is>
      </c>
    </row>
    <row r="222">
      <c r="A222">
        <f>=============================================================================</f>
        <v/>
      </c>
    </row>
    <row r="223">
      <c r="A223" t="inlineStr"/>
    </row>
    <row r="224">
      <c r="A224" t="inlineStr">
        <is>
          <t>Notes:</t>
        </is>
      </c>
    </row>
    <row r="225">
      <c r="A225" t="inlineStr">
        <is>
          <t>[1] Standard Errors assume that the covariance matrix of the errors is correctly specified.</t>
        </is>
      </c>
    </row>
    <row r="226">
      <c r="A226" t="inlineStr"/>
    </row>
    <row r="227">
      <c r="A227">
        <f>=============================</f>
        <v/>
      </c>
    </row>
    <row r="228">
      <c r="A228" t="inlineStr">
        <is>
          <t>Paid M4</t>
        </is>
      </c>
    </row>
    <row r="229">
      <c r="A229">
        <f>=============================</f>
        <v/>
      </c>
    </row>
    <row r="230">
      <c r="A230" t="inlineStr">
        <is>
          <t xml:space="preserve">                            OLS Regression Results                            </t>
        </is>
      </c>
    </row>
    <row r="231">
      <c r="A231">
        <f>=============================================================================</f>
        <v/>
      </c>
    </row>
    <row r="232">
      <c r="A232" t="inlineStr">
        <is>
          <t>Dep. Variable:             ln_profits   R-squared:                       0.872</t>
        </is>
      </c>
    </row>
    <row r="233">
      <c r="A233" t="inlineStr">
        <is>
          <t>Model:                            OLS   Adj. R-squared:                  0.855</t>
        </is>
      </c>
    </row>
    <row r="234">
      <c r="A234" t="inlineStr">
        <is>
          <t>Method:                 Least Squares   F-statistic:                     51.70</t>
        </is>
      </c>
    </row>
    <row r="235">
      <c r="A235" t="inlineStr">
        <is>
          <t>Date:                Wed, 10 Dec 2025   Prob (F-statistic):           6.29e-16</t>
        </is>
      </c>
    </row>
    <row r="236">
      <c r="A236" t="inlineStr">
        <is>
          <t>Time:                        16:34:35   Log-Likelihood:                -56.415</t>
        </is>
      </c>
    </row>
    <row r="237">
      <c r="A237" t="inlineStr">
        <is>
          <t>No. Observations:                  44   AIC:                             124.8</t>
        </is>
      </c>
    </row>
    <row r="238">
      <c r="A238" t="inlineStr">
        <is>
          <t>Df Residuals:                      38   BIC:                             135.5</t>
        </is>
      </c>
    </row>
    <row r="239">
      <c r="A239" t="inlineStr">
        <is>
          <t xml:space="preserve">Df Model:                           5                                         </t>
        </is>
      </c>
    </row>
    <row r="240">
      <c r="A240" t="inlineStr">
        <is>
          <t xml:space="preserve">Covariance Type:            nonrobust                                         </t>
        </is>
      </c>
    </row>
    <row r="241">
      <c r="A241">
        <f>======================================================================================</f>
        <v/>
      </c>
    </row>
    <row r="242">
      <c r="A242" t="inlineStr">
        <is>
          <t xml:space="preserve">                          coef    std err          t      P&gt;|t|      [0.025      0.975]</t>
        </is>
      </c>
    </row>
    <row r="243">
      <c r="A243" t="inlineStr">
        <is>
          <t>---------------------------------------------------------------------------------------</t>
        </is>
      </c>
    </row>
    <row r="244">
      <c r="A244" t="inlineStr">
        <is>
          <t>Intercept               5.7619      1.103      5.226      0.000       3.530       7.994</t>
        </is>
      </c>
    </row>
    <row r="245">
      <c r="A245" t="inlineStr">
        <is>
          <t>ETR                   -10.0352      4.306     -2.330      0.025     -18.752      -1.318</t>
        </is>
      </c>
    </row>
    <row r="246">
      <c r="A246" t="inlineStr">
        <is>
          <t>ETR_sq                 18.0129      9.853      1.828      0.075      -1.934      37.960</t>
        </is>
      </c>
    </row>
    <row r="247">
      <c r="A247" t="inlineStr">
        <is>
          <t>ln_employees            0.2645      0.150      1.760      0.086      -0.040       0.569</t>
        </is>
      </c>
    </row>
    <row r="248">
      <c r="A248" t="inlineStr">
        <is>
          <t>ln_tangible_assets      0.3066      0.066      4.643      0.000       0.173       0.440</t>
        </is>
      </c>
    </row>
    <row r="249">
      <c r="A249" t="inlineStr">
        <is>
          <t>ln_related_revenues     0.3000      0.075      3.981      0.000       0.147       0.453</t>
        </is>
      </c>
    </row>
    <row r="250">
      <c r="A250">
        <f>=============================================================================</f>
        <v/>
      </c>
    </row>
    <row r="251">
      <c r="A251" t="inlineStr">
        <is>
          <t>Omnibus:                        5.895   Durbin-Watson:                   1.697</t>
        </is>
      </c>
    </row>
    <row r="252">
      <c r="A252" t="inlineStr">
        <is>
          <t>Prob(Omnibus):                  0.052   Jarque-Bera (JB):                4.760</t>
        </is>
      </c>
    </row>
    <row r="253">
      <c r="A253" t="inlineStr">
        <is>
          <t>Skew:                          -0.613   Prob(JB):                       0.0925</t>
        </is>
      </c>
    </row>
    <row r="254">
      <c r="A254" t="inlineStr">
        <is>
          <t>Kurtosis:                       4.045   Cond. No.                     2.01e+03</t>
        </is>
      </c>
    </row>
    <row r="255">
      <c r="A255">
        <f>=============================================================================</f>
        <v/>
      </c>
    </row>
    <row r="256">
      <c r="A256" t="inlineStr"/>
    </row>
    <row r="257">
      <c r="A257" t="inlineStr">
        <is>
          <t>Notes:</t>
        </is>
      </c>
    </row>
    <row r="258">
      <c r="A258" t="inlineStr">
        <is>
          <t>[1] Standard Errors assume that the covariance matrix of the errors is correctly specified.</t>
        </is>
      </c>
    </row>
    <row r="259">
      <c r="A259" t="inlineStr">
        <is>
          <t>[2] The condition number is large, 2.01e+03. This might indicate that there are</t>
        </is>
      </c>
    </row>
    <row r="260">
      <c r="A260" t="inlineStr">
        <is>
          <t>strong multicollinearity or other numerical problems.</t>
        </is>
      </c>
    </row>
    <row r="261">
      <c r="A261" t="inlineStr"/>
    </row>
    <row r="262">
      <c r="A262" t="inlineStr">
        <is>
          <t>[U-Test] Shape: U-Shape, Turning Point: 0.2786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2025-12-10T15:34:35Z</dcterms:created>
  <dcterms:modified xsi:type="dcterms:W3CDTF">2025-12-10T15:34:35Z</dcterms:modified>
</cp:coreProperties>
</file>