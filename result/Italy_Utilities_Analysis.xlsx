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ed_Base1" sheetId="1" state="visible" r:id="rId1"/>
    <sheet name="Accrued_Base2" sheetId="2" state="visible" r:id="rId2"/>
    <sheet name="Paid_Base1" sheetId="3" state="visible" r:id="rId3"/>
    <sheet name="Paid_Base2" sheetId="4" state="visible" r:id="rId4"/>
    <sheet name="Regress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ENEL</t>
        </is>
      </c>
      <c r="B2" t="n">
        <v>2020</v>
      </c>
      <c r="C2" t="inlineStr">
        <is>
          <t>Utilities</t>
        </is>
      </c>
      <c r="D2" t="inlineStr">
        <is>
          <t>ITA</t>
        </is>
      </c>
      <c r="E2" t="inlineStr">
        <is>
          <t>Italy</t>
        </is>
      </c>
      <c r="F2" t="inlineStr">
        <is>
          <t>ITA</t>
        </is>
      </c>
      <c r="G2" t="inlineStr">
        <is>
          <t>Italy</t>
        </is>
      </c>
      <c r="H2" t="n">
        <v>42320400000</v>
      </c>
      <c r="I2" t="n">
        <v>1532800000</v>
      </c>
      <c r="J2" t="n">
        <v>1025400000</v>
      </c>
      <c r="K2" t="n">
        <v>29777</v>
      </c>
      <c r="L2" t="n">
        <v>28235700000</v>
      </c>
      <c r="M2" t="n">
        <v>1038000000</v>
      </c>
      <c r="N2" t="n">
        <v>40231600000</v>
      </c>
      <c r="O2" t="n">
        <v>2088800000</v>
      </c>
      <c r="P2" t="inlineStr"/>
      <c r="Q2" t="inlineStr"/>
      <c r="R2" t="inlineStr">
        <is>
          <t>EUR</t>
        </is>
      </c>
      <c r="S2" t="n">
        <v>0.6771920668058455</v>
      </c>
      <c r="T2" t="n">
        <v>21.15036196518087</v>
      </c>
      <c r="U2" t="n">
        <v>0.4585890953447728</v>
      </c>
    </row>
    <row r="3">
      <c r="A3" t="inlineStr">
        <is>
          <t>ENEL</t>
        </is>
      </c>
      <c r="B3" t="n">
        <v>2020</v>
      </c>
      <c r="C3" t="inlineStr">
        <is>
          <t>Utilities</t>
        </is>
      </c>
      <c r="D3" t="inlineStr">
        <is>
          <t>ITA</t>
        </is>
      </c>
      <c r="E3" t="inlineStr">
        <is>
          <t>Italy</t>
        </is>
      </c>
      <c r="F3" t="inlineStr">
        <is>
          <t>ESP</t>
        </is>
      </c>
      <c r="G3" t="inlineStr">
        <is>
          <t>Spain</t>
        </is>
      </c>
      <c r="H3" t="n">
        <v>16793400000</v>
      </c>
      <c r="I3" t="n">
        <v>1637300000</v>
      </c>
      <c r="J3" t="n">
        <v>136200000</v>
      </c>
      <c r="K3" t="n">
        <v>9659</v>
      </c>
      <c r="L3" t="n">
        <v>22958200000</v>
      </c>
      <c r="M3" t="n">
        <v>120000000</v>
      </c>
      <c r="N3" t="n">
        <v>15761000000</v>
      </c>
      <c r="O3" t="n">
        <v>1032400000</v>
      </c>
      <c r="P3" t="inlineStr"/>
      <c r="Q3" t="inlineStr"/>
      <c r="R3" t="inlineStr">
        <is>
          <t>EUR</t>
        </is>
      </c>
      <c r="S3" t="n">
        <v>0.07329139436877787</v>
      </c>
      <c r="T3" t="n">
        <v>21.21631438060972</v>
      </c>
      <c r="U3" t="n">
        <v>0.005371628488519724</v>
      </c>
    </row>
    <row r="4">
      <c r="A4" t="inlineStr">
        <is>
          <t>ENEL</t>
        </is>
      </c>
      <c r="B4" t="n">
        <v>2020</v>
      </c>
      <c r="C4" t="inlineStr">
        <is>
          <t>Utilities</t>
        </is>
      </c>
      <c r="D4" t="inlineStr">
        <is>
          <t>ITA</t>
        </is>
      </c>
      <c r="E4" t="inlineStr">
        <is>
          <t>Italy</t>
        </is>
      </c>
      <c r="F4" t="inlineStr">
        <is>
          <t>RUS</t>
        </is>
      </c>
      <c r="G4" t="inlineStr">
        <is>
          <t>Russia</t>
        </is>
      </c>
      <c r="H4" t="n">
        <v>553100000</v>
      </c>
      <c r="I4" t="n">
        <v>52300000</v>
      </c>
      <c r="J4" t="n">
        <v>13200000</v>
      </c>
      <c r="K4" t="n">
        <v>1475</v>
      </c>
      <c r="L4" t="n">
        <v>606500000</v>
      </c>
      <c r="M4" t="n">
        <v>10700000</v>
      </c>
      <c r="N4" t="n">
        <v>547600000</v>
      </c>
      <c r="O4" t="n">
        <v>5500000</v>
      </c>
      <c r="P4" t="inlineStr"/>
      <c r="Q4" t="inlineStr"/>
      <c r="R4" t="inlineStr">
        <is>
          <t>EUR</t>
        </is>
      </c>
      <c r="S4" t="n">
        <v>0.2045889101338432</v>
      </c>
      <c r="T4" t="n">
        <v>17.77250692903515</v>
      </c>
      <c r="U4" t="n">
        <v>0.04185662214975377</v>
      </c>
    </row>
    <row r="5">
      <c r="A5" t="inlineStr">
        <is>
          <t>ENEL</t>
        </is>
      </c>
      <c r="B5" t="n">
        <v>2020</v>
      </c>
      <c r="C5" t="inlineStr">
        <is>
          <t>Utilities</t>
        </is>
      </c>
      <c r="D5" t="inlineStr">
        <is>
          <t>ITA</t>
        </is>
      </c>
      <c r="E5" t="inlineStr">
        <is>
          <t>Italy</t>
        </is>
      </c>
      <c r="F5" t="inlineStr">
        <is>
          <t>ROU</t>
        </is>
      </c>
      <c r="G5" t="inlineStr">
        <is>
          <t>Romania</t>
        </is>
      </c>
      <c r="H5" t="n">
        <v>1406200000</v>
      </c>
      <c r="I5" t="n">
        <v>223300000</v>
      </c>
      <c r="J5" t="n">
        <v>21100000</v>
      </c>
      <c r="K5" t="n">
        <v>3248</v>
      </c>
      <c r="L5" t="n">
        <v>1993000000</v>
      </c>
      <c r="M5" t="n">
        <v>23800000</v>
      </c>
      <c r="N5" t="n">
        <v>1401300000</v>
      </c>
      <c r="O5" t="n">
        <v>4900000</v>
      </c>
      <c r="P5" t="inlineStr"/>
      <c r="Q5" t="inlineStr"/>
      <c r="R5" t="inlineStr">
        <is>
          <t>EUR</t>
        </is>
      </c>
      <c r="S5" t="n">
        <v>0.1065830721003135</v>
      </c>
      <c r="T5" t="n">
        <v>19.22402671681039</v>
      </c>
      <c r="U5" t="n">
        <v>0.01135995125834062</v>
      </c>
    </row>
    <row r="6">
      <c r="A6" t="inlineStr">
        <is>
          <t>ENEL</t>
        </is>
      </c>
      <c r="B6" t="n">
        <v>2020</v>
      </c>
      <c r="C6" t="inlineStr">
        <is>
          <t>Utilities</t>
        </is>
      </c>
      <c r="D6" t="inlineStr">
        <is>
          <t>ITA</t>
        </is>
      </c>
      <c r="E6" t="inlineStr">
        <is>
          <t>Italy</t>
        </is>
      </c>
      <c r="F6" t="inlineStr">
        <is>
          <t>NLD</t>
        </is>
      </c>
      <c r="G6" t="inlineStr">
        <is>
          <t>Netherlands</t>
        </is>
      </c>
      <c r="H6" t="n">
        <v>3740800000</v>
      </c>
      <c r="I6" t="n">
        <v>301400000</v>
      </c>
      <c r="J6" t="n">
        <v>43400000</v>
      </c>
      <c r="K6" t="n">
        <v>20</v>
      </c>
      <c r="L6" t="n">
        <v>100000</v>
      </c>
      <c r="M6" t="n">
        <v>75200000</v>
      </c>
      <c r="N6" t="n">
        <v>2209800000</v>
      </c>
      <c r="O6" t="n">
        <v>1531000000</v>
      </c>
      <c r="P6" t="inlineStr"/>
      <c r="Q6" t="inlineStr"/>
      <c r="R6" t="inlineStr">
        <is>
          <t>EUR</t>
        </is>
      </c>
      <c r="S6" t="n">
        <v>0.2495023224950232</v>
      </c>
      <c r="T6" t="n">
        <v>19.52394884415667</v>
      </c>
      <c r="U6" t="n">
        <v>0.06225140893041057</v>
      </c>
    </row>
    <row r="7">
      <c r="A7" t="inlineStr">
        <is>
          <t>ENEL</t>
        </is>
      </c>
      <c r="B7" t="n">
        <v>2020</v>
      </c>
      <c r="C7" t="inlineStr">
        <is>
          <t>Utilities</t>
        </is>
      </c>
      <c r="D7" t="inlineStr">
        <is>
          <t>ITA</t>
        </is>
      </c>
      <c r="E7" t="inlineStr">
        <is>
          <t>Italy</t>
        </is>
      </c>
      <c r="F7" t="inlineStr">
        <is>
          <t>OTHER</t>
        </is>
      </c>
      <c r="G7" t="inlineStr">
        <is>
          <t>USA and Canada</t>
        </is>
      </c>
      <c r="H7" t="n">
        <v>1295600000</v>
      </c>
      <c r="I7" t="n">
        <v>201600000</v>
      </c>
      <c r="J7" t="n">
        <v>3500000</v>
      </c>
      <c r="K7" t="n">
        <v>1306</v>
      </c>
      <c r="L7" t="n">
        <v>7305700000</v>
      </c>
      <c r="M7" t="n">
        <v>0</v>
      </c>
      <c r="N7" t="n">
        <v>1271000000</v>
      </c>
      <c r="O7" t="n">
        <v>24600000</v>
      </c>
      <c r="P7" t="inlineStr"/>
      <c r="Q7" t="inlineStr"/>
      <c r="R7" t="inlineStr">
        <is>
          <t>EUR</t>
        </is>
      </c>
      <c r="S7" t="n">
        <v>0</v>
      </c>
      <c r="T7" t="n">
        <v>19.12179609416149</v>
      </c>
      <c r="U7" t="n">
        <v>0</v>
      </c>
    </row>
    <row r="8">
      <c r="A8" t="inlineStr">
        <is>
          <t>ENEL</t>
        </is>
      </c>
      <c r="B8" t="n">
        <v>2020</v>
      </c>
      <c r="C8" t="inlineStr">
        <is>
          <t>Utilities</t>
        </is>
      </c>
      <c r="D8" t="inlineStr">
        <is>
          <t>ITA</t>
        </is>
      </c>
      <c r="E8" t="inlineStr">
        <is>
          <t>Italy</t>
        </is>
      </c>
      <c r="F8" t="inlineStr">
        <is>
          <t>MEX</t>
        </is>
      </c>
      <c r="G8" t="inlineStr">
        <is>
          <t>Mexico</t>
        </is>
      </c>
      <c r="H8" t="n">
        <v>167600000</v>
      </c>
      <c r="I8" t="n">
        <v>32800000</v>
      </c>
      <c r="J8" t="n">
        <v>15400000</v>
      </c>
      <c r="K8" t="n">
        <v>333</v>
      </c>
      <c r="L8" t="n">
        <v>1207000000</v>
      </c>
      <c r="M8" t="n">
        <v>8700000</v>
      </c>
      <c r="N8" t="n">
        <v>164600000</v>
      </c>
      <c r="O8" t="n">
        <v>3000000</v>
      </c>
      <c r="P8" t="inlineStr"/>
      <c r="Q8" t="inlineStr"/>
      <c r="R8" t="inlineStr">
        <is>
          <t>EUR</t>
        </is>
      </c>
      <c r="S8" t="n">
        <v>0.2652439024390244</v>
      </c>
      <c r="T8" t="n">
        <v>17.30593907335437</v>
      </c>
      <c r="U8" t="n">
        <v>0.07035432778108269</v>
      </c>
    </row>
    <row r="9">
      <c r="A9" t="inlineStr">
        <is>
          <t>ENEL</t>
        </is>
      </c>
      <c r="B9" t="n">
        <v>2020</v>
      </c>
      <c r="C9" t="inlineStr">
        <is>
          <t>Utilities</t>
        </is>
      </c>
      <c r="D9" t="inlineStr">
        <is>
          <t>ITA</t>
        </is>
      </c>
      <c r="E9" t="inlineStr">
        <is>
          <t>Italy</t>
        </is>
      </c>
      <c r="F9" t="inlineStr">
        <is>
          <t>BRA</t>
        </is>
      </c>
      <c r="G9" t="inlineStr">
        <is>
          <t>Brazil</t>
        </is>
      </c>
      <c r="H9" t="n">
        <v>7337600000</v>
      </c>
      <c r="I9" t="n">
        <v>286700000</v>
      </c>
      <c r="J9" t="n">
        <v>141400000</v>
      </c>
      <c r="K9" t="n">
        <v>10137</v>
      </c>
      <c r="L9" t="n">
        <v>2602500000</v>
      </c>
      <c r="M9" t="n">
        <v>112400000</v>
      </c>
      <c r="N9" t="n">
        <v>7298100000</v>
      </c>
      <c r="O9" t="n">
        <v>39500000</v>
      </c>
      <c r="P9" t="inlineStr"/>
      <c r="Q9" t="inlineStr"/>
      <c r="R9" t="inlineStr">
        <is>
          <t>EUR</t>
        </is>
      </c>
      <c r="S9" t="n">
        <v>0.3920474363446111</v>
      </c>
      <c r="T9" t="n">
        <v>19.4739469308536</v>
      </c>
      <c r="U9" t="n">
        <v>0.1537011923443819</v>
      </c>
    </row>
    <row r="10">
      <c r="A10" t="inlineStr">
        <is>
          <t>ENEL</t>
        </is>
      </c>
      <c r="B10" t="n">
        <v>2020</v>
      </c>
      <c r="C10" t="inlineStr">
        <is>
          <t>Utilities</t>
        </is>
      </c>
      <c r="D10" t="inlineStr">
        <is>
          <t>ITA</t>
        </is>
      </c>
      <c r="E10" t="inlineStr">
        <is>
          <t>Italy</t>
        </is>
      </c>
      <c r="F10" t="inlineStr">
        <is>
          <t>COL</t>
        </is>
      </c>
      <c r="G10" t="inlineStr">
        <is>
          <t>Colombia</t>
        </is>
      </c>
      <c r="H10" t="n">
        <v>2086800000</v>
      </c>
      <c r="I10" t="n">
        <v>740100000</v>
      </c>
      <c r="J10" t="n">
        <v>233100000</v>
      </c>
      <c r="K10" t="n">
        <v>2191</v>
      </c>
      <c r="L10" t="n">
        <v>3652000000</v>
      </c>
      <c r="M10" t="n">
        <v>237400000</v>
      </c>
      <c r="N10" t="n">
        <v>2079700000</v>
      </c>
      <c r="O10" t="n">
        <v>7100000</v>
      </c>
      <c r="P10" t="inlineStr"/>
      <c r="Q10" t="inlineStr"/>
      <c r="R10" t="inlineStr">
        <is>
          <t>EUR</t>
        </is>
      </c>
      <c r="S10" t="n">
        <v>0.3207674638562357</v>
      </c>
      <c r="T10" t="n">
        <v>20.42229587016769</v>
      </c>
      <c r="U10" t="n">
        <v>0.1028917658687615</v>
      </c>
    </row>
    <row r="11">
      <c r="A11" t="inlineStr">
        <is>
          <t>ENEL</t>
        </is>
      </c>
      <c r="B11" t="n">
        <v>2020</v>
      </c>
      <c r="C11" t="inlineStr">
        <is>
          <t>Utilities</t>
        </is>
      </c>
      <c r="D11" t="inlineStr">
        <is>
          <t>ITA</t>
        </is>
      </c>
      <c r="E11" t="inlineStr">
        <is>
          <t>Italy</t>
        </is>
      </c>
      <c r="F11" t="inlineStr">
        <is>
          <t>ARG</t>
        </is>
      </c>
      <c r="G11" t="inlineStr">
        <is>
          <t>Argentina</t>
        </is>
      </c>
      <c r="H11" t="n">
        <v>1648900000</v>
      </c>
      <c r="I11" t="n">
        <v>140800000</v>
      </c>
      <c r="J11" t="n">
        <v>79600000</v>
      </c>
      <c r="K11" t="n">
        <v>4074</v>
      </c>
      <c r="L11" t="n">
        <v>1287700000</v>
      </c>
      <c r="M11" t="n">
        <v>52400000</v>
      </c>
      <c r="N11" t="n">
        <v>1586400000</v>
      </c>
      <c r="O11" t="n">
        <v>62500000</v>
      </c>
      <c r="P11" t="inlineStr"/>
      <c r="Q11" t="inlineStr"/>
      <c r="R11" t="inlineStr">
        <is>
          <t>EUR</t>
        </is>
      </c>
      <c r="S11" t="n">
        <v>0.3721590909090909</v>
      </c>
      <c r="T11" t="n">
        <v>18.76285100168822</v>
      </c>
      <c r="U11" t="n">
        <v>0.138502388946281</v>
      </c>
    </row>
    <row r="12">
      <c r="A12" t="inlineStr">
        <is>
          <t>ENEL</t>
        </is>
      </c>
      <c r="B12" t="n">
        <v>2020</v>
      </c>
      <c r="C12" t="inlineStr">
        <is>
          <t>Utilities</t>
        </is>
      </c>
      <c r="D12" t="inlineStr">
        <is>
          <t>ITA</t>
        </is>
      </c>
      <c r="E12" t="inlineStr">
        <is>
          <t>Italy</t>
        </is>
      </c>
      <c r="F12" t="inlineStr">
        <is>
          <t>PER</t>
        </is>
      </c>
      <c r="G12" t="inlineStr">
        <is>
          <t>Peru</t>
        </is>
      </c>
      <c r="H12" t="n">
        <v>1171900000</v>
      </c>
      <c r="I12" t="n">
        <v>269000000</v>
      </c>
      <c r="J12" t="n">
        <v>79200000</v>
      </c>
      <c r="K12" t="n">
        <v>954</v>
      </c>
      <c r="L12" t="n">
        <v>2275900000</v>
      </c>
      <c r="M12" t="n">
        <v>96500000</v>
      </c>
      <c r="N12" t="n">
        <v>1171900000</v>
      </c>
      <c r="O12" t="n">
        <v>0</v>
      </c>
      <c r="P12" t="inlineStr"/>
      <c r="Q12" t="inlineStr"/>
      <c r="R12" t="inlineStr">
        <is>
          <t>EUR</t>
        </is>
      </c>
      <c r="S12" t="n">
        <v>0.3587360594795539</v>
      </c>
      <c r="T12" t="n">
        <v>19.41022193756611</v>
      </c>
      <c r="U12" t="n">
        <v>0.128691560370918</v>
      </c>
    </row>
    <row r="13">
      <c r="A13" t="inlineStr">
        <is>
          <t>ENEL</t>
        </is>
      </c>
      <c r="B13" t="n">
        <v>2020</v>
      </c>
      <c r="C13" t="inlineStr">
        <is>
          <t>Utilities</t>
        </is>
      </c>
      <c r="D13" t="inlineStr">
        <is>
          <t>ITA</t>
        </is>
      </c>
      <c r="E13" t="inlineStr">
        <is>
          <t>Italy</t>
        </is>
      </c>
      <c r="F13" t="inlineStr">
        <is>
          <t>PAN</t>
        </is>
      </c>
      <c r="G13" t="inlineStr">
        <is>
          <t>Panama</t>
        </is>
      </c>
      <c r="H13" t="n">
        <v>137200000</v>
      </c>
      <c r="I13" t="n">
        <v>83400000</v>
      </c>
      <c r="J13" t="n">
        <v>15900000</v>
      </c>
      <c r="K13" t="n">
        <v>99</v>
      </c>
      <c r="L13" t="n">
        <v>339200000</v>
      </c>
      <c r="M13" t="n">
        <v>26900000</v>
      </c>
      <c r="N13" t="n">
        <v>136700000</v>
      </c>
      <c r="O13" t="n">
        <v>500000</v>
      </c>
      <c r="P13" t="inlineStr"/>
      <c r="Q13" t="inlineStr"/>
      <c r="R13" t="inlineStr">
        <is>
          <t>EUR</t>
        </is>
      </c>
      <c r="S13" t="n">
        <v>0.3225419664268585</v>
      </c>
      <c r="T13" t="n">
        <v>18.23915886732897</v>
      </c>
      <c r="U13" t="n">
        <v>0.1040333201065047</v>
      </c>
    </row>
    <row r="14">
      <c r="A14" t="inlineStr">
        <is>
          <t>ENEL</t>
        </is>
      </c>
      <c r="B14" t="n">
        <v>2020</v>
      </c>
      <c r="C14" t="inlineStr">
        <is>
          <t>Utilities</t>
        </is>
      </c>
      <c r="D14" t="inlineStr">
        <is>
          <t>ITA</t>
        </is>
      </c>
      <c r="E14" t="inlineStr">
        <is>
          <t>Italy</t>
        </is>
      </c>
      <c r="F14" t="inlineStr">
        <is>
          <t>GTM</t>
        </is>
      </c>
      <c r="G14" t="inlineStr">
        <is>
          <t>Guatemala</t>
        </is>
      </c>
      <c r="H14" t="n">
        <v>46100000</v>
      </c>
      <c r="I14" t="n">
        <v>16700000</v>
      </c>
      <c r="J14" t="n">
        <v>1900000</v>
      </c>
      <c r="K14" t="n">
        <v>86</v>
      </c>
      <c r="L14" t="n">
        <v>309800000</v>
      </c>
      <c r="M14" t="n">
        <v>2100000</v>
      </c>
      <c r="N14" t="n">
        <v>45200000</v>
      </c>
      <c r="O14" t="n">
        <v>900000</v>
      </c>
      <c r="P14" t="inlineStr"/>
      <c r="Q14" t="inlineStr"/>
      <c r="R14" t="inlineStr">
        <is>
          <t>EUR</t>
        </is>
      </c>
      <c r="S14" t="n">
        <v>0.125748502994012</v>
      </c>
      <c r="T14" t="n">
        <v>16.63091927738698</v>
      </c>
      <c r="U14" t="n">
        <v>0.01581268600523504</v>
      </c>
    </row>
    <row r="15">
      <c r="A15" t="inlineStr">
        <is>
          <t>ENEL</t>
        </is>
      </c>
      <c r="B15" t="n">
        <v>2020</v>
      </c>
      <c r="C15" t="inlineStr">
        <is>
          <t>Utilities</t>
        </is>
      </c>
      <c r="D15" t="inlineStr">
        <is>
          <t>ITA</t>
        </is>
      </c>
      <c r="E15" t="inlineStr">
        <is>
          <t>Italy</t>
        </is>
      </c>
      <c r="F15" t="inlineStr">
        <is>
          <t>CRI</t>
        </is>
      </c>
      <c r="G15" t="inlineStr">
        <is>
          <t>Costa Rica</t>
        </is>
      </c>
      <c r="H15" t="n">
        <v>22300000</v>
      </c>
      <c r="I15" t="n">
        <v>5300000</v>
      </c>
      <c r="J15" t="n">
        <v>400000</v>
      </c>
      <c r="K15" t="n">
        <v>37</v>
      </c>
      <c r="L15" t="n">
        <v>145300000</v>
      </c>
      <c r="M15" t="n">
        <v>1300000</v>
      </c>
      <c r="N15" t="n">
        <v>21900000</v>
      </c>
      <c r="O15" t="n">
        <v>400000</v>
      </c>
      <c r="P15" t="inlineStr"/>
      <c r="Q15" t="inlineStr"/>
      <c r="R15" t="inlineStr">
        <is>
          <t>EUR</t>
        </is>
      </c>
      <c r="S15" t="n">
        <v>0.2452830188679245</v>
      </c>
      <c r="T15" t="n">
        <v>15.48321737852235</v>
      </c>
      <c r="U15" t="n">
        <v>0.06016375934496262</v>
      </c>
    </row>
    <row r="16">
      <c r="A16" t="inlineStr">
        <is>
          <t>ENEL</t>
        </is>
      </c>
      <c r="B16" t="n">
        <v>2020</v>
      </c>
      <c r="C16" t="inlineStr">
        <is>
          <t>Utilities</t>
        </is>
      </c>
      <c r="D16" t="inlineStr">
        <is>
          <t>ITA</t>
        </is>
      </c>
      <c r="E16" t="inlineStr">
        <is>
          <t>Italy</t>
        </is>
      </c>
      <c r="F16" t="inlineStr">
        <is>
          <t>BGR</t>
        </is>
      </c>
      <c r="G16" t="inlineStr">
        <is>
          <t>Bulgaria</t>
        </is>
      </c>
      <c r="H16" t="n">
        <v>9300000</v>
      </c>
      <c r="I16" t="n">
        <v>4100000</v>
      </c>
      <c r="J16" t="n">
        <v>400000</v>
      </c>
      <c r="K16" t="n">
        <v>6</v>
      </c>
      <c r="L16" t="n">
        <v>31400000</v>
      </c>
      <c r="M16" t="n">
        <v>400000</v>
      </c>
      <c r="N16" t="n">
        <v>9200000</v>
      </c>
      <c r="O16" t="n">
        <v>100000</v>
      </c>
      <c r="P16" t="inlineStr"/>
      <c r="Q16" t="inlineStr"/>
      <c r="R16" t="inlineStr">
        <is>
          <t>EUR</t>
        </is>
      </c>
      <c r="S16" t="n">
        <v>0.0975609756097561</v>
      </c>
      <c r="T16" t="n">
        <v>15.22649753167454</v>
      </c>
      <c r="U16" t="n">
        <v>0.009518143961927425</v>
      </c>
    </row>
    <row r="17">
      <c r="A17" t="inlineStr">
        <is>
          <t>ENEL</t>
        </is>
      </c>
      <c r="B17" t="n">
        <v>2020</v>
      </c>
      <c r="C17" t="inlineStr">
        <is>
          <t>Utilities</t>
        </is>
      </c>
      <c r="D17" t="inlineStr">
        <is>
          <t>ITA</t>
        </is>
      </c>
      <c r="E17" t="inlineStr">
        <is>
          <t>Italy</t>
        </is>
      </c>
      <c r="F17" t="inlineStr">
        <is>
          <t>FRA</t>
        </is>
      </c>
      <c r="G17" t="inlineStr">
        <is>
          <t>France</t>
        </is>
      </c>
      <c r="H17" t="n">
        <v>307700000</v>
      </c>
      <c r="I17" t="n">
        <v>6700000</v>
      </c>
      <c r="J17" t="n">
        <v>1600000</v>
      </c>
      <c r="K17" t="n">
        <v>57</v>
      </c>
      <c r="L17" t="n">
        <v>23000000</v>
      </c>
      <c r="M17" t="n">
        <v>100000</v>
      </c>
      <c r="N17" t="n">
        <v>277700000</v>
      </c>
      <c r="O17" t="n">
        <v>30000000</v>
      </c>
      <c r="P17" t="inlineStr"/>
      <c r="Q17" t="inlineStr"/>
      <c r="R17" t="inlineStr">
        <is>
          <t>EUR</t>
        </is>
      </c>
      <c r="S17" t="n">
        <v>0.01492537313432836</v>
      </c>
      <c r="T17" t="n">
        <v>15.7176180843612</v>
      </c>
      <c r="U17" t="n">
        <v>0.0002227667631989307</v>
      </c>
    </row>
    <row r="18">
      <c r="A18" t="inlineStr">
        <is>
          <t>ENEL</t>
        </is>
      </c>
      <c r="B18" t="n">
        <v>2020</v>
      </c>
      <c r="C18" t="inlineStr">
        <is>
          <t>Utilities</t>
        </is>
      </c>
      <c r="D18" t="inlineStr">
        <is>
          <t>ITA</t>
        </is>
      </c>
      <c r="E18" t="inlineStr">
        <is>
          <t>Italy</t>
        </is>
      </c>
      <c r="F18" t="inlineStr">
        <is>
          <t>DEU</t>
        </is>
      </c>
      <c r="G18" t="inlineStr">
        <is>
          <t>Germany</t>
        </is>
      </c>
      <c r="H18" t="n">
        <v>260300000</v>
      </c>
      <c r="I18" t="n">
        <v>19900000</v>
      </c>
      <c r="J18" t="n">
        <v>300000</v>
      </c>
      <c r="K18" t="n">
        <v>23</v>
      </c>
      <c r="L18" t="n">
        <v>700000</v>
      </c>
      <c r="M18" t="n">
        <v>900000</v>
      </c>
      <c r="N18" t="n">
        <v>223200000</v>
      </c>
      <c r="O18" t="n">
        <v>37100000</v>
      </c>
      <c r="P18" t="inlineStr"/>
      <c r="Q18" t="inlineStr"/>
      <c r="R18" t="inlineStr">
        <is>
          <t>EUR</t>
        </is>
      </c>
      <c r="S18" t="n">
        <v>0.04522613065326633</v>
      </c>
      <c r="T18" t="n">
        <v>16.80623028969472</v>
      </c>
      <c r="U18" t="n">
        <v>0.002045402893866316</v>
      </c>
    </row>
    <row r="19">
      <c r="A19" t="inlineStr">
        <is>
          <t>ENEL</t>
        </is>
      </c>
      <c r="B19" t="n">
        <v>2020</v>
      </c>
      <c r="C19" t="inlineStr">
        <is>
          <t>Utilities</t>
        </is>
      </c>
      <c r="D19" t="inlineStr">
        <is>
          <t>ITA</t>
        </is>
      </c>
      <c r="E19" t="inlineStr">
        <is>
          <t>Italy</t>
        </is>
      </c>
      <c r="F19" t="inlineStr">
        <is>
          <t>GRC</t>
        </is>
      </c>
      <c r="G19" t="inlineStr">
        <is>
          <t>Greece</t>
        </is>
      </c>
      <c r="H19" t="n">
        <v>115500000</v>
      </c>
      <c r="I19" t="n">
        <v>27900000</v>
      </c>
      <c r="J19" t="n">
        <v>300000</v>
      </c>
      <c r="K19" t="n">
        <v>114</v>
      </c>
      <c r="L19" t="n">
        <v>628800000</v>
      </c>
      <c r="M19" t="n">
        <v>6000000</v>
      </c>
      <c r="N19" t="n">
        <v>111900000</v>
      </c>
      <c r="O19" t="n">
        <v>3600000</v>
      </c>
      <c r="P19" t="inlineStr"/>
      <c r="Q19" t="inlineStr"/>
      <c r="R19" t="inlineStr">
        <is>
          <t>EUR</t>
        </is>
      </c>
      <c r="S19" t="n">
        <v>0.2150537634408602</v>
      </c>
      <c r="T19" t="n">
        <v>17.14413724679159</v>
      </c>
      <c r="U19" t="n">
        <v>0.04624812117007747</v>
      </c>
    </row>
    <row r="20">
      <c r="A20" t="inlineStr">
        <is>
          <t>ENEL</t>
        </is>
      </c>
      <c r="B20" t="n">
        <v>2020</v>
      </c>
      <c r="C20" t="inlineStr">
        <is>
          <t>Utilities</t>
        </is>
      </c>
      <c r="D20" t="inlineStr">
        <is>
          <t>ITA</t>
        </is>
      </c>
      <c r="E20" t="inlineStr">
        <is>
          <t>Italy</t>
        </is>
      </c>
      <c r="F20" t="inlineStr">
        <is>
          <t>IRL</t>
        </is>
      </c>
      <c r="G20" t="inlineStr">
        <is>
          <t>Ireland</t>
        </is>
      </c>
      <c r="H20" t="n">
        <v>11900000</v>
      </c>
      <c r="I20" t="n">
        <v>1000000</v>
      </c>
      <c r="J20" t="n">
        <v>0</v>
      </c>
      <c r="K20" t="n">
        <v>52</v>
      </c>
      <c r="L20" t="n">
        <v>1600000</v>
      </c>
      <c r="M20" t="n">
        <v>0</v>
      </c>
      <c r="N20" t="n">
        <v>8900000</v>
      </c>
      <c r="O20" t="n">
        <v>3000000</v>
      </c>
      <c r="P20" t="inlineStr"/>
      <c r="Q20" t="inlineStr"/>
      <c r="R20" t="inlineStr">
        <is>
          <t>EUR</t>
        </is>
      </c>
      <c r="S20" t="n">
        <v>0</v>
      </c>
      <c r="T20" t="n">
        <v>13.81551055796427</v>
      </c>
      <c r="U20" t="n">
        <v>0</v>
      </c>
    </row>
    <row r="21">
      <c r="A21" t="inlineStr">
        <is>
          <t>ENEL</t>
        </is>
      </c>
      <c r="B21" t="n">
        <v>2020</v>
      </c>
      <c r="C21" t="inlineStr">
        <is>
          <t>Utilities</t>
        </is>
      </c>
      <c r="D21" t="inlineStr">
        <is>
          <t>ITA</t>
        </is>
      </c>
      <c r="E21" t="inlineStr">
        <is>
          <t>Italy</t>
        </is>
      </c>
      <c r="F21" t="inlineStr">
        <is>
          <t>PRT</t>
        </is>
      </c>
      <c r="G21" t="inlineStr">
        <is>
          <t>Portugal</t>
        </is>
      </c>
      <c r="H21" t="n">
        <v>1081200000</v>
      </c>
      <c r="I21" t="n">
        <v>63600000</v>
      </c>
      <c r="J21" t="n">
        <v>10600000</v>
      </c>
      <c r="K21" t="n">
        <v>61</v>
      </c>
      <c r="L21" t="n">
        <v>16500000</v>
      </c>
      <c r="M21" t="n">
        <v>9100000</v>
      </c>
      <c r="N21" t="n">
        <v>973100000</v>
      </c>
      <c r="O21" t="n">
        <v>108100000</v>
      </c>
      <c r="P21" t="inlineStr"/>
      <c r="Q21" t="inlineStr"/>
      <c r="R21" t="inlineStr">
        <is>
          <t>EUR</t>
        </is>
      </c>
      <c r="S21" t="n">
        <v>0.1430817610062893</v>
      </c>
      <c r="T21" t="n">
        <v>17.96812402831035</v>
      </c>
      <c r="U21" t="n">
        <v>0.02047239033266089</v>
      </c>
    </row>
    <row r="22">
      <c r="A22" t="inlineStr">
        <is>
          <t>ENEL</t>
        </is>
      </c>
      <c r="B22" t="n">
        <v>2020</v>
      </c>
      <c r="C22" t="inlineStr">
        <is>
          <t>Utilities</t>
        </is>
      </c>
      <c r="D22" t="inlineStr">
        <is>
          <t>ITA</t>
        </is>
      </c>
      <c r="E22" t="inlineStr">
        <is>
          <t>Italy</t>
        </is>
      </c>
      <c r="F22" t="inlineStr">
        <is>
          <t>TUR</t>
        </is>
      </c>
      <c r="G22" t="inlineStr">
        <is>
          <t>Turkey</t>
        </is>
      </c>
      <c r="H22" t="n">
        <v>2000000</v>
      </c>
      <c r="I22" t="n">
        <v>2400000</v>
      </c>
      <c r="J22" t="n">
        <v>0</v>
      </c>
      <c r="K22" t="n">
        <v>2</v>
      </c>
      <c r="L22" t="n">
        <v>100000</v>
      </c>
      <c r="M22" t="n">
        <v>0</v>
      </c>
      <c r="N22" t="n">
        <v>100000</v>
      </c>
      <c r="O22" t="n">
        <v>1900000</v>
      </c>
      <c r="P22" t="inlineStr"/>
      <c r="Q22" t="inlineStr"/>
      <c r="R22" t="inlineStr">
        <is>
          <t>EUR</t>
        </is>
      </c>
      <c r="S22" t="n">
        <v>0</v>
      </c>
      <c r="T22" t="n">
        <v>14.69097929531817</v>
      </c>
      <c r="U22" t="n">
        <v>0</v>
      </c>
    </row>
    <row r="23">
      <c r="A23" t="inlineStr">
        <is>
          <t>ENEL</t>
        </is>
      </c>
      <c r="B23" t="n">
        <v>2020</v>
      </c>
      <c r="C23" t="inlineStr">
        <is>
          <t>Utilities</t>
        </is>
      </c>
      <c r="D23" t="inlineStr">
        <is>
          <t>ITA</t>
        </is>
      </c>
      <c r="E23" t="inlineStr">
        <is>
          <t>Italy</t>
        </is>
      </c>
      <c r="F23" t="inlineStr">
        <is>
          <t>GBR</t>
        </is>
      </c>
      <c r="G23" t="inlineStr">
        <is>
          <t>United Kingdom</t>
        </is>
      </c>
      <c r="H23" t="n">
        <v>12100000</v>
      </c>
      <c r="I23" t="n">
        <v>1200000</v>
      </c>
      <c r="J23" t="n">
        <v>100000</v>
      </c>
      <c r="K23" t="n">
        <v>25</v>
      </c>
      <c r="L23" t="n">
        <v>9100000</v>
      </c>
      <c r="M23" t="n">
        <v>300000</v>
      </c>
      <c r="N23" t="n">
        <v>11100000</v>
      </c>
      <c r="O23" t="n">
        <v>1000000</v>
      </c>
      <c r="P23" t="inlineStr"/>
      <c r="Q23" t="inlineStr"/>
      <c r="R23" t="inlineStr">
        <is>
          <t>EUR</t>
        </is>
      </c>
      <c r="S23" t="n">
        <v>0.25</v>
      </c>
      <c r="T23" t="n">
        <v>13.99783211475823</v>
      </c>
      <c r="U23" t="n">
        <v>0.0625</v>
      </c>
    </row>
    <row r="24">
      <c r="A24" t="inlineStr">
        <is>
          <t>ENEL</t>
        </is>
      </c>
      <c r="B24" t="n">
        <v>2020</v>
      </c>
      <c r="C24" t="inlineStr">
        <is>
          <t>Utilities</t>
        </is>
      </c>
      <c r="D24" t="inlineStr">
        <is>
          <t>ITA</t>
        </is>
      </c>
      <c r="E24" t="inlineStr">
        <is>
          <t>Italy</t>
        </is>
      </c>
      <c r="F24" t="inlineStr">
        <is>
          <t>MAR</t>
        </is>
      </c>
      <c r="G24" t="inlineStr">
        <is>
          <t>Morocco</t>
        </is>
      </c>
      <c r="H24" t="inlineStr"/>
      <c r="I24" t="n">
        <v>2000000</v>
      </c>
      <c r="J24" t="n">
        <v>800000</v>
      </c>
      <c r="K24" t="n">
        <v>31</v>
      </c>
      <c r="L24" t="n">
        <v>1200000</v>
      </c>
      <c r="M24" t="n">
        <v>700000</v>
      </c>
      <c r="N24" t="n">
        <v>5500000</v>
      </c>
      <c r="O24" t="inlineStr"/>
      <c r="P24" t="inlineStr"/>
      <c r="Q24" t="inlineStr"/>
      <c r="R24" t="inlineStr">
        <is>
          <t>EUR</t>
        </is>
      </c>
      <c r="S24" t="n">
        <v>0.35</v>
      </c>
      <c r="T24" t="n">
        <v>14.50865773852422</v>
      </c>
      <c r="U24" t="n">
        <v>0.1225</v>
      </c>
    </row>
    <row r="25">
      <c r="A25" t="inlineStr">
        <is>
          <t>ENEL</t>
        </is>
      </c>
      <c r="B25" t="n">
        <v>2020</v>
      </c>
      <c r="C25" t="inlineStr">
        <is>
          <t>Utilities</t>
        </is>
      </c>
      <c r="D25" t="inlineStr">
        <is>
          <t>ITA</t>
        </is>
      </c>
      <c r="E25" t="inlineStr">
        <is>
          <t>Italy</t>
        </is>
      </c>
      <c r="F25" t="inlineStr">
        <is>
          <t>NZL</t>
        </is>
      </c>
      <c r="G25" t="inlineStr">
        <is>
          <t>New Zealand</t>
        </is>
      </c>
      <c r="H25" t="n">
        <v>5900000</v>
      </c>
      <c r="I25" t="n">
        <v>800000</v>
      </c>
      <c r="J25" t="inlineStr"/>
      <c r="K25" t="n">
        <v>9</v>
      </c>
      <c r="L25" t="n">
        <v>0</v>
      </c>
      <c r="M25" t="n">
        <v>200000</v>
      </c>
      <c r="N25" t="n">
        <v>5100000</v>
      </c>
      <c r="O25" t="n">
        <v>800000</v>
      </c>
      <c r="P25" t="inlineStr"/>
      <c r="Q25" t="inlineStr"/>
      <c r="R25" t="inlineStr">
        <is>
          <t>EUR</t>
        </is>
      </c>
      <c r="S25" t="n">
        <v>0.25</v>
      </c>
      <c r="T25" t="n">
        <v>13.59236700665006</v>
      </c>
      <c r="U25" t="n">
        <v>0.0625</v>
      </c>
    </row>
    <row r="26">
      <c r="A26" t="inlineStr">
        <is>
          <t>ENEL</t>
        </is>
      </c>
      <c r="B26" t="n">
        <v>2020</v>
      </c>
      <c r="C26" t="inlineStr">
        <is>
          <t>Utilities</t>
        </is>
      </c>
      <c r="D26" t="inlineStr">
        <is>
          <t>ITA</t>
        </is>
      </c>
      <c r="E26" t="inlineStr">
        <is>
          <t>Italy</t>
        </is>
      </c>
      <c r="F26" t="inlineStr">
        <is>
          <t>ISR</t>
        </is>
      </c>
      <c r="G26" t="inlineStr">
        <is>
          <t>Israel</t>
        </is>
      </c>
      <c r="H26" t="n">
        <v>600000</v>
      </c>
      <c r="I26" t="n">
        <v>200000</v>
      </c>
      <c r="J26" t="inlineStr"/>
      <c r="K26" t="n">
        <v>1</v>
      </c>
      <c r="L26" t="n">
        <v>0</v>
      </c>
      <c r="M26" t="n">
        <v>0</v>
      </c>
      <c r="N26" t="n">
        <v>100000</v>
      </c>
      <c r="O26" t="n">
        <v>500000</v>
      </c>
      <c r="P26" t="inlineStr"/>
      <c r="Q26" t="inlineStr"/>
      <c r="R26" t="inlineStr">
        <is>
          <t>EUR</t>
        </is>
      </c>
      <c r="S26" t="n">
        <v>0</v>
      </c>
      <c r="T26" t="n">
        <v>12.20607264553017</v>
      </c>
      <c r="U26" t="n">
        <v>0</v>
      </c>
    </row>
    <row r="27">
      <c r="A27" t="inlineStr">
        <is>
          <t>ENEL</t>
        </is>
      </c>
      <c r="B27" t="n">
        <v>2020</v>
      </c>
      <c r="C27" t="inlineStr">
        <is>
          <t>Utilities</t>
        </is>
      </c>
      <c r="D27" t="inlineStr">
        <is>
          <t>ITA</t>
        </is>
      </c>
      <c r="E27" t="inlineStr">
        <is>
          <t>Italy</t>
        </is>
      </c>
      <c r="F27" t="inlineStr">
        <is>
          <t>JPN</t>
        </is>
      </c>
      <c r="G27" t="inlineStr">
        <is>
          <t>Japan</t>
        </is>
      </c>
      <c r="H27" t="n">
        <v>8200000</v>
      </c>
      <c r="I27" t="n">
        <v>1000000</v>
      </c>
      <c r="J27" t="n">
        <v>0</v>
      </c>
      <c r="K27" t="n">
        <v>19</v>
      </c>
      <c r="L27" t="n">
        <v>300000</v>
      </c>
      <c r="M27" t="n">
        <v>0</v>
      </c>
      <c r="N27" t="n">
        <v>8000000</v>
      </c>
      <c r="O27" t="n">
        <v>200000</v>
      </c>
      <c r="P27" t="inlineStr"/>
      <c r="Q27" t="inlineStr"/>
      <c r="R27" t="inlineStr">
        <is>
          <t>EUR</t>
        </is>
      </c>
      <c r="S27" t="n">
        <v>0</v>
      </c>
      <c r="T27" t="n">
        <v>13.81551055796427</v>
      </c>
      <c r="U27" t="n">
        <v>0</v>
      </c>
    </row>
    <row r="28">
      <c r="A28" t="inlineStr">
        <is>
          <t>ENEL</t>
        </is>
      </c>
      <c r="B28" t="n">
        <v>2021</v>
      </c>
      <c r="C28" t="inlineStr">
        <is>
          <t>Utilities</t>
        </is>
      </c>
      <c r="D28" t="inlineStr">
        <is>
          <t>ITA</t>
        </is>
      </c>
      <c r="E28" t="inlineStr">
        <is>
          <t>Italy</t>
        </is>
      </c>
      <c r="F28" t="inlineStr">
        <is>
          <t>GRC</t>
        </is>
      </c>
      <c r="G28" t="inlineStr">
        <is>
          <t>Greece</t>
        </is>
      </c>
      <c r="H28" t="n">
        <v>126400000</v>
      </c>
      <c r="I28" t="n">
        <v>30600000</v>
      </c>
      <c r="J28" t="n">
        <v>10200000</v>
      </c>
      <c r="K28" t="n">
        <v>112</v>
      </c>
      <c r="L28" t="n">
        <v>603900000</v>
      </c>
      <c r="M28" t="n">
        <v>9100000</v>
      </c>
      <c r="N28" t="n">
        <v>122900000</v>
      </c>
      <c r="O28" t="n">
        <v>3500000</v>
      </c>
      <c r="P28" t="n">
        <v>788500000</v>
      </c>
      <c r="Q28" t="n">
        <v>-178000000</v>
      </c>
      <c r="R28" t="inlineStr">
        <is>
          <t>EUR</t>
        </is>
      </c>
      <c r="S28" t="n">
        <v>0.2973856209150327</v>
      </c>
      <c r="T28" t="n">
        <v>17.23651056692261</v>
      </c>
      <c r="U28" t="n">
        <v>0.08843820752701952</v>
      </c>
    </row>
    <row r="29">
      <c r="A29" t="inlineStr">
        <is>
          <t>ENEL</t>
        </is>
      </c>
      <c r="B29" t="n">
        <v>2021</v>
      </c>
      <c r="C29" t="inlineStr">
        <is>
          <t>Utilities</t>
        </is>
      </c>
      <c r="D29" t="inlineStr">
        <is>
          <t>ITA</t>
        </is>
      </c>
      <c r="E29" t="inlineStr">
        <is>
          <t>Italy</t>
        </is>
      </c>
      <c r="F29" t="inlineStr">
        <is>
          <t>ITA</t>
        </is>
      </c>
      <c r="G29" t="inlineStr">
        <is>
          <t>Italy</t>
        </is>
      </c>
      <c r="H29" t="n">
        <v>53007400000</v>
      </c>
      <c r="I29" t="n">
        <v>2534500000</v>
      </c>
      <c r="J29" t="n">
        <v>763400000</v>
      </c>
      <c r="K29" t="n">
        <v>30256</v>
      </c>
      <c r="L29" t="n">
        <v>28781500000</v>
      </c>
      <c r="M29" t="n">
        <v>1107200000</v>
      </c>
      <c r="N29" t="n">
        <v>43767400000</v>
      </c>
      <c r="O29" t="n">
        <v>9240000000</v>
      </c>
      <c r="P29" t="n">
        <v>43051200000</v>
      </c>
      <c r="Q29" t="n">
        <v>22782700000</v>
      </c>
      <c r="R29" t="inlineStr">
        <is>
          <t>EUR</t>
        </is>
      </c>
      <c r="S29" t="n">
        <v>0.4368514499901361</v>
      </c>
      <c r="T29" t="n">
        <v>21.65326221587668</v>
      </c>
      <c r="U29" t="n">
        <v>0.1908391893584844</v>
      </c>
    </row>
    <row r="30">
      <c r="A30" t="inlineStr">
        <is>
          <t>ENEL</t>
        </is>
      </c>
      <c r="B30" t="n">
        <v>2021</v>
      </c>
      <c r="C30" t="inlineStr">
        <is>
          <t>Utilities</t>
        </is>
      </c>
      <c r="D30" t="inlineStr">
        <is>
          <t>ITA</t>
        </is>
      </c>
      <c r="E30" t="inlineStr">
        <is>
          <t>Italy</t>
        </is>
      </c>
      <c r="F30" t="inlineStr">
        <is>
          <t>PRT</t>
        </is>
      </c>
      <c r="G30" t="inlineStr">
        <is>
          <t>Portugal</t>
        </is>
      </c>
      <c r="H30" t="n">
        <v>1300300000</v>
      </c>
      <c r="I30" t="n">
        <v>36000000</v>
      </c>
      <c r="J30" t="n">
        <v>10100000</v>
      </c>
      <c r="K30" t="n">
        <v>74</v>
      </c>
      <c r="L30" t="n">
        <v>33600000</v>
      </c>
      <c r="M30" t="n">
        <v>4700000</v>
      </c>
      <c r="N30" t="n">
        <v>1088500000</v>
      </c>
      <c r="O30" t="n">
        <v>211800000</v>
      </c>
      <c r="P30" t="n">
        <v>400000</v>
      </c>
      <c r="Q30" t="n">
        <v>4900000</v>
      </c>
      <c r="R30" t="inlineStr">
        <is>
          <t>EUR</t>
        </is>
      </c>
      <c r="S30" t="n">
        <v>0.1305555555555556</v>
      </c>
      <c r="T30" t="n">
        <v>17.39902949642038</v>
      </c>
      <c r="U30" t="n">
        <v>0.01704475308641976</v>
      </c>
    </row>
    <row r="31">
      <c r="A31" t="inlineStr">
        <is>
          <t>ENEL</t>
        </is>
      </c>
      <c r="B31" t="n">
        <v>2021</v>
      </c>
      <c r="C31" t="inlineStr">
        <is>
          <t>Utilities</t>
        </is>
      </c>
      <c r="D31" t="inlineStr">
        <is>
          <t>ITA</t>
        </is>
      </c>
      <c r="E31" t="inlineStr">
        <is>
          <t>Italy</t>
        </is>
      </c>
      <c r="F31" t="inlineStr">
        <is>
          <t>ROU</t>
        </is>
      </c>
      <c r="G31" t="inlineStr">
        <is>
          <t>Romania</t>
        </is>
      </c>
      <c r="H31" t="n">
        <v>1711600000</v>
      </c>
      <c r="I31" t="n">
        <v>13600000</v>
      </c>
      <c r="J31" t="n">
        <v>19000000</v>
      </c>
      <c r="K31" t="n">
        <v>3291</v>
      </c>
      <c r="L31" t="n">
        <v>1985100000</v>
      </c>
      <c r="M31" t="n">
        <v>7500000</v>
      </c>
      <c r="N31" t="n">
        <v>1619200000</v>
      </c>
      <c r="O31" t="n">
        <v>92400000</v>
      </c>
      <c r="P31" t="n">
        <v>1137100000</v>
      </c>
      <c r="Q31" t="n">
        <v>1209300000</v>
      </c>
      <c r="R31" t="inlineStr">
        <is>
          <t>EUR</t>
        </is>
      </c>
      <c r="S31" t="n">
        <v>0.5514705882352942</v>
      </c>
      <c r="T31" t="n">
        <v>16.42558035070628</v>
      </c>
      <c r="U31" t="n">
        <v>0.3041198096885814</v>
      </c>
    </row>
    <row r="32">
      <c r="A32" t="inlineStr">
        <is>
          <t>ENEL</t>
        </is>
      </c>
      <c r="B32" t="n">
        <v>2021</v>
      </c>
      <c r="C32" t="inlineStr">
        <is>
          <t>Utilities</t>
        </is>
      </c>
      <c r="D32" t="inlineStr">
        <is>
          <t>ITA</t>
        </is>
      </c>
      <c r="E32" t="inlineStr">
        <is>
          <t>Italy</t>
        </is>
      </c>
      <c r="F32" t="inlineStr">
        <is>
          <t>RUS</t>
        </is>
      </c>
      <c r="G32" t="inlineStr">
        <is>
          <t>Russia</t>
        </is>
      </c>
      <c r="H32" t="n">
        <v>576500000</v>
      </c>
      <c r="I32" t="n">
        <v>39100000</v>
      </c>
      <c r="J32" t="n">
        <v>5400000</v>
      </c>
      <c r="K32" t="n">
        <v>1465</v>
      </c>
      <c r="L32" t="n">
        <v>851000000</v>
      </c>
      <c r="M32" t="n">
        <v>0</v>
      </c>
      <c r="N32" t="n">
        <v>570200000</v>
      </c>
      <c r="O32" t="n">
        <v>6300000</v>
      </c>
      <c r="P32" t="n">
        <v>996900000</v>
      </c>
      <c r="Q32" t="n">
        <v>331300000</v>
      </c>
      <c r="R32" t="inlineStr">
        <is>
          <t>EUR</t>
        </is>
      </c>
      <c r="S32" t="n">
        <v>0</v>
      </c>
      <c r="T32" t="n">
        <v>17.4816330249556</v>
      </c>
      <c r="U32" t="n">
        <v>0</v>
      </c>
    </row>
    <row r="33">
      <c r="A33" t="inlineStr">
        <is>
          <t>ENEL</t>
        </is>
      </c>
      <c r="B33" t="n">
        <v>2021</v>
      </c>
      <c r="C33" t="inlineStr">
        <is>
          <t>Utilities</t>
        </is>
      </c>
      <c r="D33" t="inlineStr">
        <is>
          <t>ITA</t>
        </is>
      </c>
      <c r="E33" t="inlineStr">
        <is>
          <t>Italy</t>
        </is>
      </c>
      <c r="F33" t="inlineStr">
        <is>
          <t>ESP</t>
        </is>
      </c>
      <c r="G33" t="inlineStr">
        <is>
          <t>Spain</t>
        </is>
      </c>
      <c r="H33" t="n">
        <v>30341500000</v>
      </c>
      <c r="I33" t="n">
        <v>2368500000</v>
      </c>
      <c r="J33" t="n">
        <v>159900000</v>
      </c>
      <c r="K33" t="n">
        <v>9376</v>
      </c>
      <c r="L33" t="n">
        <v>24142500000</v>
      </c>
      <c r="M33" t="n">
        <v>227000000</v>
      </c>
      <c r="N33" t="n">
        <v>25415000000</v>
      </c>
      <c r="O33" t="n">
        <v>4926500000</v>
      </c>
      <c r="P33" t="n">
        <v>20934500000</v>
      </c>
      <c r="Q33" t="n">
        <v>31937900000</v>
      </c>
      <c r="R33" t="inlineStr">
        <is>
          <t>EUR</t>
        </is>
      </c>
      <c r="S33" t="n">
        <v>0.0958412497361199</v>
      </c>
      <c r="T33" t="n">
        <v>21.58552268032808</v>
      </c>
      <c r="U33" t="n">
        <v>0.009185545150981304</v>
      </c>
    </row>
    <row r="34">
      <c r="A34" t="inlineStr">
        <is>
          <t>ENEL</t>
        </is>
      </c>
      <c r="B34" t="n">
        <v>2021</v>
      </c>
      <c r="C34" t="inlineStr">
        <is>
          <t>Utilities</t>
        </is>
      </c>
      <c r="D34" t="inlineStr">
        <is>
          <t>ITA</t>
        </is>
      </c>
      <c r="E34" t="inlineStr">
        <is>
          <t>Italy</t>
        </is>
      </c>
      <c r="F34" t="inlineStr">
        <is>
          <t>BRA</t>
        </is>
      </c>
      <c r="G34" t="inlineStr">
        <is>
          <t>Brazil</t>
        </is>
      </c>
      <c r="H34" t="n">
        <v>9929400000</v>
      </c>
      <c r="I34" t="n">
        <v>498800000</v>
      </c>
      <c r="J34" t="n">
        <v>199200000</v>
      </c>
      <c r="K34" t="n">
        <v>8966</v>
      </c>
      <c r="L34" t="n">
        <v>3328800000</v>
      </c>
      <c r="M34" t="n">
        <v>159800000</v>
      </c>
      <c r="N34" t="n">
        <v>9905700000</v>
      </c>
      <c r="O34" t="n">
        <v>23700000</v>
      </c>
      <c r="P34" t="n">
        <v>10842700000</v>
      </c>
      <c r="Q34" t="n">
        <v>2129700000</v>
      </c>
      <c r="R34" t="inlineStr">
        <is>
          <t>EUR</t>
        </is>
      </c>
      <c r="S34" t="n">
        <v>0.3203688853247795</v>
      </c>
      <c r="T34" t="n">
        <v>20.02771577177015</v>
      </c>
      <c r="U34" t="n">
        <v>0.1026362226842417</v>
      </c>
    </row>
    <row r="35">
      <c r="A35" t="inlineStr">
        <is>
          <t>ENEL</t>
        </is>
      </c>
      <c r="B35" t="n">
        <v>2021</v>
      </c>
      <c r="C35" t="inlineStr">
        <is>
          <t>Utilities</t>
        </is>
      </c>
      <c r="D35" t="inlineStr">
        <is>
          <t>ITA</t>
        </is>
      </c>
      <c r="E35" t="inlineStr">
        <is>
          <t>Italy</t>
        </is>
      </c>
      <c r="F35" t="inlineStr">
        <is>
          <t>COL</t>
        </is>
      </c>
      <c r="G35" t="inlineStr">
        <is>
          <t>Colombia</t>
        </is>
      </c>
      <c r="H35" t="n">
        <v>2248400000</v>
      </c>
      <c r="I35" t="n">
        <v>875400000</v>
      </c>
      <c r="J35" t="n">
        <v>249200000</v>
      </c>
      <c r="K35" t="n">
        <v>2256</v>
      </c>
      <c r="L35" t="n">
        <v>3675100000</v>
      </c>
      <c r="M35" t="n">
        <v>261400000</v>
      </c>
      <c r="N35" t="n">
        <v>2247200000</v>
      </c>
      <c r="O35" t="n">
        <v>1200000</v>
      </c>
      <c r="P35" t="n">
        <v>512400000</v>
      </c>
      <c r="Q35" t="n">
        <v>1938400000</v>
      </c>
      <c r="R35" t="inlineStr">
        <is>
          <t>EUR</t>
        </is>
      </c>
      <c r="S35" t="n">
        <v>0.2986063513822252</v>
      </c>
      <c r="T35" t="n">
        <v>20.59019148272107</v>
      </c>
      <c r="U35" t="n">
        <v>0.08916575308580497</v>
      </c>
    </row>
    <row r="36">
      <c r="A36" t="inlineStr">
        <is>
          <t>ENEL</t>
        </is>
      </c>
      <c r="B36" t="n">
        <v>2021</v>
      </c>
      <c r="C36" t="inlineStr">
        <is>
          <t>Utilities</t>
        </is>
      </c>
      <c r="D36" t="inlineStr">
        <is>
          <t>ITA</t>
        </is>
      </c>
      <c r="E36" t="inlineStr">
        <is>
          <t>Italy</t>
        </is>
      </c>
      <c r="F36" t="inlineStr">
        <is>
          <t>GTM</t>
        </is>
      </c>
      <c r="G36" t="inlineStr">
        <is>
          <t>Guatemala</t>
        </is>
      </c>
      <c r="H36" t="n">
        <v>79000000</v>
      </c>
      <c r="I36" t="n">
        <v>25000000</v>
      </c>
      <c r="J36" t="n">
        <v>2300000</v>
      </c>
      <c r="K36" t="n">
        <v>94</v>
      </c>
      <c r="L36" t="n">
        <v>340000000</v>
      </c>
      <c r="M36" t="n">
        <v>2300000</v>
      </c>
      <c r="N36" t="n">
        <v>78800000</v>
      </c>
      <c r="O36" t="n">
        <v>200000</v>
      </c>
      <c r="P36" t="n">
        <v>248900000</v>
      </c>
      <c r="Q36" t="n">
        <v>189600000</v>
      </c>
      <c r="R36" t="inlineStr">
        <is>
          <t>EUR</t>
        </is>
      </c>
      <c r="S36" t="n">
        <v>0.092</v>
      </c>
      <c r="T36" t="n">
        <v>17.03438638283248</v>
      </c>
      <c r="U36" t="n">
        <v>0.008463999999999999</v>
      </c>
    </row>
    <row r="37">
      <c r="A37" t="inlineStr">
        <is>
          <t>ENEL</t>
        </is>
      </c>
      <c r="B37" t="n">
        <v>2021</v>
      </c>
      <c r="C37" t="inlineStr">
        <is>
          <t>Utilities</t>
        </is>
      </c>
      <c r="D37" t="inlineStr">
        <is>
          <t>ITA</t>
        </is>
      </c>
      <c r="E37" t="inlineStr">
        <is>
          <t>Italy</t>
        </is>
      </c>
      <c r="F37" t="inlineStr">
        <is>
          <t>PAN</t>
        </is>
      </c>
      <c r="G37" t="inlineStr">
        <is>
          <t>Panama</t>
        </is>
      </c>
      <c r="H37" t="n">
        <v>154700000</v>
      </c>
      <c r="I37" t="n">
        <v>108900000</v>
      </c>
      <c r="J37" t="n">
        <v>26900000</v>
      </c>
      <c r="K37" t="n">
        <v>94</v>
      </c>
      <c r="L37" t="n">
        <v>389300000</v>
      </c>
      <c r="M37" t="n">
        <v>37900000</v>
      </c>
      <c r="N37" t="n">
        <v>154400000</v>
      </c>
      <c r="O37" t="n">
        <v>300000</v>
      </c>
      <c r="P37" t="n">
        <v>372200000</v>
      </c>
      <c r="Q37" t="n">
        <v>173600000</v>
      </c>
      <c r="R37" t="inlineStr">
        <is>
          <t>EUR</t>
        </is>
      </c>
      <c r="S37" t="n">
        <v>0.3480257116620753</v>
      </c>
      <c r="T37" t="n">
        <v>18.50594058790319</v>
      </c>
      <c r="U37" t="n">
        <v>0.121121895977894</v>
      </c>
    </row>
    <row r="38">
      <c r="A38" t="inlineStr">
        <is>
          <t>ENEL</t>
        </is>
      </c>
      <c r="B38" t="n">
        <v>2021</v>
      </c>
      <c r="C38" t="inlineStr">
        <is>
          <t>Utilities</t>
        </is>
      </c>
      <c r="D38" t="inlineStr">
        <is>
          <t>ITA</t>
        </is>
      </c>
      <c r="E38" t="inlineStr">
        <is>
          <t>Italy</t>
        </is>
      </c>
      <c r="F38" t="inlineStr">
        <is>
          <t>PER</t>
        </is>
      </c>
      <c r="G38" t="inlineStr">
        <is>
          <t>Peru</t>
        </is>
      </c>
      <c r="H38" t="n">
        <v>1179700000</v>
      </c>
      <c r="I38" t="n">
        <v>302100000</v>
      </c>
      <c r="J38" t="n">
        <v>106100000</v>
      </c>
      <c r="K38" t="n">
        <v>988</v>
      </c>
      <c r="L38" t="n">
        <v>2341400000</v>
      </c>
      <c r="M38" t="n">
        <v>89500000</v>
      </c>
      <c r="N38" t="n">
        <v>1179700000</v>
      </c>
      <c r="O38" t="n">
        <v>0</v>
      </c>
      <c r="P38" t="n">
        <v>2261000000</v>
      </c>
      <c r="Q38" t="n">
        <v>216100000</v>
      </c>
      <c r="R38" t="inlineStr">
        <is>
          <t>EUR</t>
        </is>
      </c>
      <c r="S38" t="n">
        <v>0.2962595167163191</v>
      </c>
      <c r="T38" t="n">
        <v>19.5262686463569</v>
      </c>
      <c r="U38" t="n">
        <v>0.08776970124498697</v>
      </c>
    </row>
    <row r="39">
      <c r="A39" t="inlineStr">
        <is>
          <t>ENEL</t>
        </is>
      </c>
      <c r="B39" t="n">
        <v>2021</v>
      </c>
      <c r="C39" t="inlineStr">
        <is>
          <t>Utilities</t>
        </is>
      </c>
      <c r="D39" t="inlineStr">
        <is>
          <t>ITA</t>
        </is>
      </c>
      <c r="E39" t="inlineStr">
        <is>
          <t>Italy</t>
        </is>
      </c>
      <c r="F39" t="inlineStr">
        <is>
          <t>POL</t>
        </is>
      </c>
      <c r="G39" t="inlineStr">
        <is>
          <t>Poland</t>
        </is>
      </c>
      <c r="H39" t="n">
        <v>18000000</v>
      </c>
      <c r="I39" t="n">
        <v>1300000</v>
      </c>
      <c r="J39" t="inlineStr"/>
      <c r="K39" t="n">
        <v>16</v>
      </c>
      <c r="L39" t="n">
        <v>0</v>
      </c>
      <c r="M39" t="n">
        <v>0</v>
      </c>
      <c r="N39" t="n">
        <v>17900000</v>
      </c>
      <c r="O39" t="n">
        <v>100000</v>
      </c>
      <c r="P39" t="n">
        <v>3900000</v>
      </c>
      <c r="Q39" t="n">
        <v>-2900000</v>
      </c>
      <c r="R39" t="inlineStr">
        <is>
          <t>EUR</t>
        </is>
      </c>
      <c r="S39" t="n">
        <v>0</v>
      </c>
      <c r="T39" t="n">
        <v>14.07787482243176</v>
      </c>
      <c r="U39" t="n">
        <v>0</v>
      </c>
    </row>
    <row r="40">
      <c r="A40" t="inlineStr">
        <is>
          <t>ENEL</t>
        </is>
      </c>
      <c r="B40" t="n">
        <v>2021</v>
      </c>
      <c r="C40" t="inlineStr">
        <is>
          <t>Utilities</t>
        </is>
      </c>
      <c r="D40" t="inlineStr">
        <is>
          <t>ITA</t>
        </is>
      </c>
      <c r="E40" t="inlineStr">
        <is>
          <t>Italy</t>
        </is>
      </c>
      <c r="F40" t="inlineStr">
        <is>
          <t>URY</t>
        </is>
      </c>
      <c r="G40" t="inlineStr">
        <is>
          <t>Uruguay</t>
        </is>
      </c>
      <c r="H40" t="n">
        <v>1600000</v>
      </c>
      <c r="I40" t="n">
        <v>1200000</v>
      </c>
      <c r="J40" t="n">
        <v>0</v>
      </c>
      <c r="K40" t="n">
        <v>1</v>
      </c>
      <c r="L40" t="n">
        <v>0</v>
      </c>
      <c r="M40" t="n">
        <v>100000</v>
      </c>
      <c r="N40" t="n">
        <v>1600000</v>
      </c>
      <c r="O40" t="n">
        <v>0</v>
      </c>
      <c r="P40" t="n">
        <v>0</v>
      </c>
      <c r="Q40" t="n">
        <v>-800000</v>
      </c>
      <c r="R40" t="inlineStr">
        <is>
          <t>EUR</t>
        </is>
      </c>
      <c r="S40" t="n">
        <v>0.08333333333333333</v>
      </c>
      <c r="T40" t="n">
        <v>13.99783211475823</v>
      </c>
      <c r="U40" t="n">
        <v>0.006944444444444444</v>
      </c>
    </row>
    <row r="41">
      <c r="A41" t="inlineStr">
        <is>
          <t>ENEL</t>
        </is>
      </c>
      <c r="B41" t="n">
        <v>2021</v>
      </c>
      <c r="C41" t="inlineStr">
        <is>
          <t>Utilities</t>
        </is>
      </c>
      <c r="D41" t="inlineStr">
        <is>
          <t>ITA</t>
        </is>
      </c>
      <c r="E41" t="inlineStr">
        <is>
          <t>Italy</t>
        </is>
      </c>
      <c r="F41" t="inlineStr">
        <is>
          <t>NZL</t>
        </is>
      </c>
      <c r="G41" t="inlineStr">
        <is>
          <t>New Zealand</t>
        </is>
      </c>
      <c r="H41" t="n">
        <v>6500000</v>
      </c>
      <c r="I41" t="n">
        <v>400000</v>
      </c>
      <c r="J41" t="n">
        <v>300000</v>
      </c>
      <c r="K41" t="n">
        <v>5</v>
      </c>
      <c r="L41" t="n">
        <v>100000</v>
      </c>
      <c r="M41" t="n">
        <v>100000</v>
      </c>
      <c r="N41" t="n">
        <v>6000000</v>
      </c>
      <c r="O41" t="n">
        <v>500000</v>
      </c>
      <c r="P41" t="n">
        <v>2000000</v>
      </c>
      <c r="Q41" t="n">
        <v>-600000</v>
      </c>
      <c r="R41" t="inlineStr">
        <is>
          <t>EUR</t>
        </is>
      </c>
      <c r="S41" t="n">
        <v>0.25</v>
      </c>
      <c r="T41" t="n">
        <v>12.89921982609012</v>
      </c>
      <c r="U41" t="n">
        <v>0.0625</v>
      </c>
    </row>
    <row r="42">
      <c r="A42" t="inlineStr">
        <is>
          <t>ERG</t>
        </is>
      </c>
      <c r="B42" t="n">
        <v>2020</v>
      </c>
      <c r="C42" t="inlineStr">
        <is>
          <t>Utilities</t>
        </is>
      </c>
      <c r="D42" t="inlineStr">
        <is>
          <t>ITA</t>
        </is>
      </c>
      <c r="E42" t="inlineStr">
        <is>
          <t>Italy</t>
        </is>
      </c>
      <c r="F42" t="inlineStr">
        <is>
          <t>ITA</t>
        </is>
      </c>
      <c r="G42" t="inlineStr">
        <is>
          <t>Italy</t>
        </is>
      </c>
      <c r="H42" t="n">
        <v>800000000</v>
      </c>
      <c r="I42" t="n">
        <v>108000000</v>
      </c>
      <c r="J42" t="n">
        <v>20500000</v>
      </c>
      <c r="K42" t="n">
        <v>685</v>
      </c>
      <c r="L42" t="n">
        <v>1464000000</v>
      </c>
      <c r="M42" t="n">
        <v>35300000</v>
      </c>
      <c r="N42" t="n">
        <v>799000000</v>
      </c>
      <c r="O42" t="n">
        <v>1000000</v>
      </c>
      <c r="P42" t="inlineStr"/>
      <c r="Q42" t="inlineStr"/>
      <c r="R42" t="inlineStr">
        <is>
          <t>EUR</t>
        </is>
      </c>
      <c r="S42" t="n">
        <v>0.3268518518518518</v>
      </c>
      <c r="T42" t="n">
        <v>18.49764178508849</v>
      </c>
      <c r="U42" t="n">
        <v>0.1068321330589849</v>
      </c>
    </row>
    <row r="43">
      <c r="A43" t="inlineStr">
        <is>
          <t>ERG</t>
        </is>
      </c>
      <c r="B43" t="n">
        <v>2020</v>
      </c>
      <c r="C43" t="inlineStr">
        <is>
          <t>Utilities</t>
        </is>
      </c>
      <c r="D43" t="inlineStr">
        <is>
          <t>ITA</t>
        </is>
      </c>
      <c r="E43" t="inlineStr">
        <is>
          <t>Italy</t>
        </is>
      </c>
      <c r="F43" t="inlineStr">
        <is>
          <t>POL</t>
        </is>
      </c>
      <c r="G43" t="inlineStr">
        <is>
          <t>Poland</t>
        </is>
      </c>
      <c r="H43" t="inlineStr"/>
      <c r="I43" t="n">
        <v>5000000</v>
      </c>
      <c r="J43" t="n">
        <v>300000</v>
      </c>
      <c r="K43" t="n">
        <v>5</v>
      </c>
      <c r="L43" t="n">
        <v>96000000</v>
      </c>
      <c r="M43" t="n">
        <v>100000</v>
      </c>
      <c r="N43" t="n">
        <v>19000000</v>
      </c>
      <c r="O43" t="inlineStr"/>
      <c r="P43" t="inlineStr"/>
      <c r="Q43" t="inlineStr"/>
      <c r="R43" t="inlineStr">
        <is>
          <t>EUR</t>
        </is>
      </c>
      <c r="S43" t="n">
        <v>0.02</v>
      </c>
      <c r="T43" t="n">
        <v>15.42494847039838</v>
      </c>
      <c r="U43" t="n">
        <v>0.0004</v>
      </c>
    </row>
    <row r="44">
      <c r="A44" t="inlineStr">
        <is>
          <t>ERG</t>
        </is>
      </c>
      <c r="B44" t="n">
        <v>2020</v>
      </c>
      <c r="C44" t="inlineStr">
        <is>
          <t>Utilities</t>
        </is>
      </c>
      <c r="D44" t="inlineStr">
        <is>
          <t>ITA</t>
        </is>
      </c>
      <c r="E44" t="inlineStr">
        <is>
          <t>Italy</t>
        </is>
      </c>
      <c r="F44" t="inlineStr">
        <is>
          <t>BGR</t>
        </is>
      </c>
      <c r="G44" t="inlineStr">
        <is>
          <t>Bulgaria</t>
        </is>
      </c>
      <c r="H44" t="inlineStr"/>
      <c r="I44" t="n">
        <v>4000000</v>
      </c>
      <c r="J44" t="n">
        <v>200000</v>
      </c>
      <c r="K44" t="n">
        <v>1</v>
      </c>
      <c r="L44" t="n">
        <v>35000000</v>
      </c>
      <c r="M44" t="n">
        <v>400000</v>
      </c>
      <c r="N44" t="n">
        <v>13000000</v>
      </c>
      <c r="O44" t="inlineStr"/>
      <c r="P44" t="inlineStr"/>
      <c r="Q44" t="inlineStr"/>
      <c r="R44" t="inlineStr">
        <is>
          <t>EUR</t>
        </is>
      </c>
      <c r="S44" t="n">
        <v>0.1</v>
      </c>
      <c r="T44" t="n">
        <v>15.20180491908416</v>
      </c>
      <c r="U44" t="n">
        <v>0.01</v>
      </c>
    </row>
    <row r="45">
      <c r="A45" t="inlineStr">
        <is>
          <t>ERG</t>
        </is>
      </c>
      <c r="B45" t="n">
        <v>2021</v>
      </c>
      <c r="C45" t="inlineStr">
        <is>
          <t>Utilities</t>
        </is>
      </c>
      <c r="D45" t="inlineStr">
        <is>
          <t>ITA</t>
        </is>
      </c>
      <c r="E45" t="inlineStr">
        <is>
          <t>Italy</t>
        </is>
      </c>
      <c r="F45" t="inlineStr">
        <is>
          <t>ITA</t>
        </is>
      </c>
      <c r="G45" t="inlineStr">
        <is>
          <t>Italy</t>
        </is>
      </c>
      <c r="H45" t="inlineStr"/>
      <c r="I45" t="n">
        <v>144000000</v>
      </c>
      <c r="J45" t="n">
        <v>35000000</v>
      </c>
      <c r="K45" t="n">
        <v>688</v>
      </c>
      <c r="L45" t="n">
        <v>1402000000</v>
      </c>
      <c r="M45" t="n">
        <v>71000000</v>
      </c>
      <c r="N45" t="n">
        <v>1032000000</v>
      </c>
      <c r="O45" t="inlineStr"/>
      <c r="P45" t="inlineStr"/>
      <c r="Q45" t="inlineStr"/>
      <c r="R45" t="inlineStr">
        <is>
          <t>EUR</t>
        </is>
      </c>
      <c r="S45" t="n">
        <v>0.4930555555555556</v>
      </c>
      <c r="T45" t="n">
        <v>18.78532385754027</v>
      </c>
      <c r="U45" t="n">
        <v>0.2431037808641976</v>
      </c>
    </row>
    <row r="46">
      <c r="A46" t="inlineStr">
        <is>
          <t>ERG</t>
        </is>
      </c>
      <c r="B46" t="n">
        <v>2021</v>
      </c>
      <c r="C46" t="inlineStr">
        <is>
          <t>Utilities</t>
        </is>
      </c>
      <c r="D46" t="inlineStr">
        <is>
          <t>ITA</t>
        </is>
      </c>
      <c r="E46" t="inlineStr">
        <is>
          <t>Italy</t>
        </is>
      </c>
      <c r="F46" t="inlineStr">
        <is>
          <t>POL</t>
        </is>
      </c>
      <c r="G46" t="inlineStr">
        <is>
          <t>Poland</t>
        </is>
      </c>
      <c r="H46" t="inlineStr"/>
      <c r="I46" t="n">
        <v>15000000</v>
      </c>
      <c r="J46" t="n">
        <v>1000000</v>
      </c>
      <c r="K46" t="n">
        <v>6</v>
      </c>
      <c r="L46" t="n">
        <v>141000000</v>
      </c>
      <c r="M46" t="n">
        <v>1000000</v>
      </c>
      <c r="N46" t="n">
        <v>22000000</v>
      </c>
      <c r="O46" t="inlineStr"/>
      <c r="P46" t="inlineStr"/>
      <c r="Q46" t="inlineStr"/>
      <c r="R46" t="inlineStr">
        <is>
          <t>EUR</t>
        </is>
      </c>
      <c r="S46" t="n">
        <v>0.06666666666666667</v>
      </c>
      <c r="T46" t="n">
        <v>16.52356075906648</v>
      </c>
      <c r="U46" t="n">
        <v>0.004444444444444444</v>
      </c>
    </row>
    <row r="47">
      <c r="A47" t="inlineStr">
        <is>
          <t>ERG</t>
        </is>
      </c>
      <c r="B47" t="n">
        <v>2021</v>
      </c>
      <c r="C47" t="inlineStr">
        <is>
          <t>Utilities</t>
        </is>
      </c>
      <c r="D47" t="inlineStr">
        <is>
          <t>ITA</t>
        </is>
      </c>
      <c r="E47" t="inlineStr">
        <is>
          <t>Italy</t>
        </is>
      </c>
      <c r="F47" t="inlineStr">
        <is>
          <t>BGR</t>
        </is>
      </c>
      <c r="G47" t="inlineStr">
        <is>
          <t>Bulgaria</t>
        </is>
      </c>
      <c r="H47" t="inlineStr"/>
      <c r="I47" t="n">
        <v>5000000</v>
      </c>
      <c r="J47" t="n">
        <v>1000000</v>
      </c>
      <c r="K47" t="n">
        <v>1</v>
      </c>
      <c r="L47" t="n">
        <v>32000000</v>
      </c>
      <c r="M47" t="n">
        <v>1000000</v>
      </c>
      <c r="N47" t="n">
        <v>23000000</v>
      </c>
      <c r="O47" t="inlineStr"/>
      <c r="P47" t="inlineStr"/>
      <c r="Q47" t="inlineStr"/>
      <c r="R47" t="inlineStr">
        <is>
          <t>EUR</t>
        </is>
      </c>
      <c r="S47" t="n">
        <v>0.2</v>
      </c>
      <c r="T47" t="n">
        <v>15.42494847039838</v>
      </c>
      <c r="U47" t="n">
        <v>0.04000000000000001</v>
      </c>
    </row>
    <row r="48">
      <c r="A48" t="inlineStr">
        <is>
          <t>FALCK RENEWABLES</t>
        </is>
      </c>
      <c r="B48" t="n">
        <v>2020</v>
      </c>
      <c r="C48" t="inlineStr">
        <is>
          <t>Utilities</t>
        </is>
      </c>
      <c r="D48" t="inlineStr">
        <is>
          <t>ITA</t>
        </is>
      </c>
      <c r="E48" t="inlineStr">
        <is>
          <t>Italy</t>
        </is>
      </c>
      <c r="F48" t="inlineStr">
        <is>
          <t>BGR</t>
        </is>
      </c>
      <c r="G48" t="inlineStr">
        <is>
          <t>Bulgaria</t>
        </is>
      </c>
      <c r="H48" t="n">
        <v>138909</v>
      </c>
      <c r="I48" t="n">
        <v>9516</v>
      </c>
      <c r="J48" t="n">
        <v>0</v>
      </c>
      <c r="K48" t="n">
        <v>0</v>
      </c>
      <c r="L48" t="n">
        <v>88</v>
      </c>
      <c r="M48" t="n">
        <v>749</v>
      </c>
      <c r="N48" t="n">
        <v>138909</v>
      </c>
      <c r="O48" t="n">
        <v>0</v>
      </c>
      <c r="P48" t="n">
        <v>1023</v>
      </c>
      <c r="Q48" t="n">
        <v>98133</v>
      </c>
      <c r="R48" t="inlineStr">
        <is>
          <t>EUR</t>
        </is>
      </c>
      <c r="S48" t="n">
        <v>0.07870954182429592</v>
      </c>
      <c r="T48" t="n">
        <v>9.160729871422848</v>
      </c>
      <c r="U48" t="n">
        <v>0.006195191974190589</v>
      </c>
    </row>
    <row r="49">
      <c r="A49" t="inlineStr">
        <is>
          <t>FALCK RENEWABLES</t>
        </is>
      </c>
      <c r="B49" t="n">
        <v>2020</v>
      </c>
      <c r="C49" t="inlineStr">
        <is>
          <t>Utilities</t>
        </is>
      </c>
      <c r="D49" t="inlineStr">
        <is>
          <t>ITA</t>
        </is>
      </c>
      <c r="E49" t="inlineStr">
        <is>
          <t>Italy</t>
        </is>
      </c>
      <c r="F49" t="inlineStr">
        <is>
          <t>FRA</t>
        </is>
      </c>
      <c r="G49" t="inlineStr">
        <is>
          <t>France</t>
        </is>
      </c>
      <c r="H49" t="n">
        <v>21073128</v>
      </c>
      <c r="I49" t="n">
        <v>7634937</v>
      </c>
      <c r="J49" t="n">
        <v>1055966</v>
      </c>
      <c r="K49" t="n">
        <v>8</v>
      </c>
      <c r="L49" t="n">
        <v>210343218</v>
      </c>
      <c r="M49" t="n">
        <v>1660626</v>
      </c>
      <c r="N49" t="n">
        <v>20196102</v>
      </c>
      <c r="O49" t="n">
        <v>877026</v>
      </c>
      <c r="P49" t="n">
        <v>32692738</v>
      </c>
      <c r="Q49" t="n">
        <v>-23703995</v>
      </c>
      <c r="R49" t="inlineStr">
        <is>
          <t>EUR</t>
        </is>
      </c>
      <c r="S49" t="n">
        <v>0.2175035628977685</v>
      </c>
      <c r="T49" t="n">
        <v>15.84824524512735</v>
      </c>
      <c r="U49" t="n">
        <v>0.04730779987322354</v>
      </c>
    </row>
    <row r="50">
      <c r="A50" t="inlineStr">
        <is>
          <t>FALCK RENEWABLES</t>
        </is>
      </c>
      <c r="B50" t="n">
        <v>2020</v>
      </c>
      <c r="C50" t="inlineStr">
        <is>
          <t>Utilities</t>
        </is>
      </c>
      <c r="D50" t="inlineStr">
        <is>
          <t>ITA</t>
        </is>
      </c>
      <c r="E50" t="inlineStr">
        <is>
          <t>Italy</t>
        </is>
      </c>
      <c r="F50" t="inlineStr">
        <is>
          <t>ITA</t>
        </is>
      </c>
      <c r="G50" t="inlineStr">
        <is>
          <t>Italy</t>
        </is>
      </c>
      <c r="H50" t="n">
        <v>288187093</v>
      </c>
      <c r="I50" t="n">
        <v>76825453</v>
      </c>
      <c r="J50" t="n">
        <v>4864607</v>
      </c>
      <c r="K50" t="n">
        <v>363</v>
      </c>
      <c r="L50" t="n">
        <v>382620235</v>
      </c>
      <c r="M50" t="n">
        <v>2475117</v>
      </c>
      <c r="N50" t="n">
        <v>236018321</v>
      </c>
      <c r="O50" t="n">
        <v>52168772</v>
      </c>
      <c r="P50" t="n">
        <v>324113420</v>
      </c>
      <c r="Q50" t="n">
        <v>156663184</v>
      </c>
      <c r="R50" t="inlineStr">
        <is>
          <t>EUR</t>
        </is>
      </c>
      <c r="S50" t="n">
        <v>0.03221740846747757</v>
      </c>
      <c r="T50" t="n">
        <v>18.1570465624815</v>
      </c>
      <c r="U50" t="n">
        <v>0.001037961408360295</v>
      </c>
    </row>
    <row r="51">
      <c r="A51" t="inlineStr">
        <is>
          <t>FALCK RENEWABLES</t>
        </is>
      </c>
      <c r="B51" t="n">
        <v>2020</v>
      </c>
      <c r="C51" t="inlineStr">
        <is>
          <t>Utilities</t>
        </is>
      </c>
      <c r="D51" t="inlineStr">
        <is>
          <t>ITA</t>
        </is>
      </c>
      <c r="E51" t="inlineStr">
        <is>
          <t>Italy</t>
        </is>
      </c>
      <c r="F51" t="inlineStr">
        <is>
          <t>JPN</t>
        </is>
      </c>
      <c r="G51" t="inlineStr">
        <is>
          <t>Japan</t>
        </is>
      </c>
      <c r="H51" t="n">
        <v>4379033</v>
      </c>
      <c r="I51" t="n">
        <v>681297</v>
      </c>
      <c r="J51" t="n">
        <v>331544</v>
      </c>
      <c r="K51" t="n">
        <v>31</v>
      </c>
      <c r="L51" t="n">
        <v>70383</v>
      </c>
      <c r="M51" t="n">
        <v>393019</v>
      </c>
      <c r="N51" t="n">
        <v>4323237</v>
      </c>
      <c r="O51" t="n">
        <v>55796</v>
      </c>
      <c r="P51" t="n">
        <v>7906</v>
      </c>
      <c r="Q51" t="n">
        <v>1003968</v>
      </c>
      <c r="R51" t="inlineStr">
        <is>
          <t>EUR</t>
        </is>
      </c>
      <c r="S51" t="n">
        <v>0.576868825196647</v>
      </c>
      <c r="T51" t="n">
        <v>13.43175361340552</v>
      </c>
      <c r="U51" t="n">
        <v>0.3327776414837596</v>
      </c>
    </row>
    <row r="52">
      <c r="A52" t="inlineStr">
        <is>
          <t>FALCK RENEWABLES</t>
        </is>
      </c>
      <c r="B52" t="n">
        <v>2020</v>
      </c>
      <c r="C52" t="inlineStr">
        <is>
          <t>Utilities</t>
        </is>
      </c>
      <c r="D52" t="inlineStr">
        <is>
          <t>ITA</t>
        </is>
      </c>
      <c r="E52" t="inlineStr">
        <is>
          <t>Italy</t>
        </is>
      </c>
      <c r="F52" t="inlineStr">
        <is>
          <t>GBR</t>
        </is>
      </c>
      <c r="G52" t="inlineStr">
        <is>
          <t>United Kingdom</t>
        </is>
      </c>
      <c r="H52" t="n">
        <v>143105347</v>
      </c>
      <c r="I52" t="n">
        <v>87268500</v>
      </c>
      <c r="J52" t="n">
        <v>14307643</v>
      </c>
      <c r="K52" t="n">
        <v>29</v>
      </c>
      <c r="L52" t="n">
        <v>350158761</v>
      </c>
      <c r="M52" t="n">
        <v>9592561</v>
      </c>
      <c r="N52" t="n">
        <v>135103389</v>
      </c>
      <c r="O52" t="n">
        <v>8001958</v>
      </c>
      <c r="P52" t="n">
        <v>75559659</v>
      </c>
      <c r="Q52" t="n">
        <v>245836068</v>
      </c>
      <c r="R52" t="inlineStr">
        <is>
          <t>EUR</t>
        </is>
      </c>
      <c r="S52" t="n">
        <v>0.109920085712485</v>
      </c>
      <c r="T52" t="n">
        <v>18.28450013095465</v>
      </c>
      <c r="U52" t="n">
        <v>0.01208242524304006</v>
      </c>
    </row>
    <row r="53">
      <c r="A53" t="inlineStr">
        <is>
          <t>FALCK RENEWABLES</t>
        </is>
      </c>
      <c r="B53" t="n">
        <v>2020</v>
      </c>
      <c r="C53" t="inlineStr">
        <is>
          <t>Utilities</t>
        </is>
      </c>
      <c r="D53" t="inlineStr">
        <is>
          <t>ITA</t>
        </is>
      </c>
      <c r="E53" t="inlineStr">
        <is>
          <t>Italy</t>
        </is>
      </c>
      <c r="F53" t="inlineStr">
        <is>
          <t>USA</t>
        </is>
      </c>
      <c r="G53" t="inlineStr">
        <is>
          <t>United States of America</t>
        </is>
      </c>
      <c r="H53" t="n">
        <v>36213105</v>
      </c>
      <c r="I53" t="n">
        <v>4386799</v>
      </c>
      <c r="J53" t="n">
        <v>0</v>
      </c>
      <c r="K53" t="n">
        <v>13</v>
      </c>
      <c r="L53" t="n">
        <v>402132582</v>
      </c>
      <c r="M53" t="n">
        <v>730377</v>
      </c>
      <c r="N53" t="n">
        <v>5521927</v>
      </c>
      <c r="O53" t="n">
        <v>30691178</v>
      </c>
      <c r="P53" t="n">
        <v>307770581</v>
      </c>
      <c r="Q53" t="n">
        <v>3043026</v>
      </c>
      <c r="R53" t="inlineStr">
        <is>
          <t>EUR</t>
        </is>
      </c>
      <c r="S53" t="n">
        <v>0.1664942934472265</v>
      </c>
      <c r="T53" t="n">
        <v>15.29411036191157</v>
      </c>
      <c r="U53" t="n">
        <v>0.02772034975049118</v>
      </c>
    </row>
    <row r="54">
      <c r="A54" t="inlineStr">
        <is>
          <t>SGR</t>
        </is>
      </c>
      <c r="B54" t="n">
        <v>2018</v>
      </c>
      <c r="C54" t="inlineStr">
        <is>
          <t>Utilities</t>
        </is>
      </c>
      <c r="D54" t="inlineStr">
        <is>
          <t>ITA</t>
        </is>
      </c>
      <c r="E54" t="inlineStr">
        <is>
          <t>Italy</t>
        </is>
      </c>
      <c r="F54" t="inlineStr">
        <is>
          <t>ITA</t>
        </is>
      </c>
      <c r="G54" t="inlineStr">
        <is>
          <t>Italy</t>
        </is>
      </c>
      <c r="H54" t="n">
        <v>342199773</v>
      </c>
      <c r="I54" t="n">
        <v>31066774</v>
      </c>
      <c r="J54" t="n">
        <v>11088582</v>
      </c>
      <c r="K54" t="n">
        <v>386</v>
      </c>
      <c r="L54" t="n">
        <v>104518720</v>
      </c>
      <c r="M54" t="n">
        <v>9603825</v>
      </c>
      <c r="N54" t="n">
        <v>341683891</v>
      </c>
      <c r="O54" t="n">
        <v>515882</v>
      </c>
      <c r="P54" t="inlineStr"/>
      <c r="Q54" t="inlineStr"/>
      <c r="R54" t="inlineStr">
        <is>
          <t>EUR</t>
        </is>
      </c>
      <c r="S54" t="n">
        <v>0.3091349298127962</v>
      </c>
      <c r="T54" t="n">
        <v>17.25164944591737</v>
      </c>
      <c r="U54" t="n">
        <v>0.09556440483036241</v>
      </c>
    </row>
    <row r="55">
      <c r="A55" t="inlineStr">
        <is>
          <t>SGR</t>
        </is>
      </c>
      <c r="B55" t="n">
        <v>2018</v>
      </c>
      <c r="C55" t="inlineStr">
        <is>
          <t>Utilities</t>
        </is>
      </c>
      <c r="D55" t="inlineStr">
        <is>
          <t>ITA</t>
        </is>
      </c>
      <c r="E55" t="inlineStr">
        <is>
          <t>Italy</t>
        </is>
      </c>
      <c r="F55" t="inlineStr">
        <is>
          <t>BGR</t>
        </is>
      </c>
      <c r="G55" t="inlineStr">
        <is>
          <t>Bulgaria</t>
        </is>
      </c>
      <c r="H55" t="n">
        <v>26661412</v>
      </c>
      <c r="I55" t="n">
        <v>3341779</v>
      </c>
      <c r="J55" t="n">
        <v>301626</v>
      </c>
      <c r="K55" t="n">
        <v>72</v>
      </c>
      <c r="L55" t="n">
        <v>54816192</v>
      </c>
      <c r="M55" t="n">
        <v>240746</v>
      </c>
      <c r="N55" t="n">
        <v>26661412</v>
      </c>
      <c r="O55" t="n">
        <v>0</v>
      </c>
      <c r="P55" t="inlineStr"/>
      <c r="Q55" t="inlineStr"/>
      <c r="R55" t="inlineStr">
        <is>
          <t>EUR</t>
        </is>
      </c>
      <c r="S55" t="n">
        <v>0.07204126903664186</v>
      </c>
      <c r="T55" t="n">
        <v>15.02201385788389</v>
      </c>
      <c r="U55" t="n">
        <v>0.005189944444409814</v>
      </c>
    </row>
    <row r="56">
      <c r="A56" t="inlineStr">
        <is>
          <t>SGR</t>
        </is>
      </c>
      <c r="B56" t="n">
        <v>2019</v>
      </c>
      <c r="C56" t="inlineStr">
        <is>
          <t>Utilities</t>
        </is>
      </c>
      <c r="D56" t="inlineStr">
        <is>
          <t>ITA</t>
        </is>
      </c>
      <c r="E56" t="inlineStr">
        <is>
          <t>Italy</t>
        </is>
      </c>
      <c r="F56" t="inlineStr">
        <is>
          <t>ITA</t>
        </is>
      </c>
      <c r="G56" t="inlineStr">
        <is>
          <t>Italy</t>
        </is>
      </c>
      <c r="H56" t="n">
        <v>424175791</v>
      </c>
      <c r="I56" t="n">
        <v>35153290</v>
      </c>
      <c r="J56" t="n">
        <v>7680270</v>
      </c>
      <c r="K56" t="n">
        <v>392</v>
      </c>
      <c r="L56" t="n">
        <v>109495296</v>
      </c>
      <c r="M56" t="n">
        <v>9625692</v>
      </c>
      <c r="N56" t="n">
        <v>423875765</v>
      </c>
      <c r="O56" t="n">
        <v>300026</v>
      </c>
      <c r="P56" t="inlineStr"/>
      <c r="Q56" t="inlineStr"/>
      <c r="R56" t="inlineStr">
        <is>
          <t>EUR</t>
        </is>
      </c>
      <c r="S56" t="n">
        <v>0.2738205158037839</v>
      </c>
      <c r="T56" t="n">
        <v>17.37522877070287</v>
      </c>
      <c r="U56" t="n">
        <v>0.07497767487505028</v>
      </c>
    </row>
    <row r="57">
      <c r="A57" t="inlineStr">
        <is>
          <t>SGR</t>
        </is>
      </c>
      <c r="B57" t="n">
        <v>2019</v>
      </c>
      <c r="C57" t="inlineStr">
        <is>
          <t>Utilities</t>
        </is>
      </c>
      <c r="D57" t="inlineStr">
        <is>
          <t>ITA</t>
        </is>
      </c>
      <c r="E57" t="inlineStr">
        <is>
          <t>Italy</t>
        </is>
      </c>
      <c r="F57" t="inlineStr">
        <is>
          <t>BGR</t>
        </is>
      </c>
      <c r="G57" t="inlineStr">
        <is>
          <t>Bulgaria</t>
        </is>
      </c>
      <c r="H57" t="n">
        <v>30771665</v>
      </c>
      <c r="I57" t="n">
        <v>1173528</v>
      </c>
      <c r="J57" t="n">
        <v>366131</v>
      </c>
      <c r="K57" t="n">
        <v>77</v>
      </c>
      <c r="L57" t="n">
        <v>52357201</v>
      </c>
      <c r="M57" t="n">
        <v>357216</v>
      </c>
      <c r="N57" t="n">
        <v>30771665</v>
      </c>
      <c r="O57" t="n">
        <v>0</v>
      </c>
      <c r="P57" t="inlineStr"/>
      <c r="Q57" t="inlineStr"/>
      <c r="R57" t="inlineStr">
        <is>
          <t>EUR</t>
        </is>
      </c>
      <c r="S57" t="n">
        <v>0.3043949526555821</v>
      </c>
      <c r="T57" t="n">
        <v>13.97552515423569</v>
      </c>
      <c r="U57" t="n">
        <v>0.0926562872021941</v>
      </c>
    </row>
    <row r="58">
      <c r="A58" t="inlineStr">
        <is>
          <t>SGR</t>
        </is>
      </c>
      <c r="B58" t="n">
        <v>2020</v>
      </c>
      <c r="C58" t="inlineStr">
        <is>
          <t>Utilities</t>
        </is>
      </c>
      <c r="D58" t="inlineStr">
        <is>
          <t>ITA</t>
        </is>
      </c>
      <c r="E58" t="inlineStr">
        <is>
          <t>Italy</t>
        </is>
      </c>
      <c r="F58" t="inlineStr">
        <is>
          <t>ITA</t>
        </is>
      </c>
      <c r="G58" t="inlineStr">
        <is>
          <t>Italy</t>
        </is>
      </c>
      <c r="H58" t="n">
        <v>373927340</v>
      </c>
      <c r="I58" t="n">
        <v>33372192</v>
      </c>
      <c r="J58" t="n">
        <v>10309532</v>
      </c>
      <c r="K58" t="n">
        <v>432</v>
      </c>
      <c r="L58" t="n">
        <v>176103029</v>
      </c>
      <c r="M58" t="n">
        <v>7724633</v>
      </c>
      <c r="N58" t="n">
        <v>370735337</v>
      </c>
      <c r="O58" t="n">
        <v>3192003</v>
      </c>
      <c r="P58" t="inlineStr"/>
      <c r="Q58" t="inlineStr"/>
      <c r="R58" t="inlineStr">
        <is>
          <t>EUR</t>
        </is>
      </c>
      <c r="S58" t="n">
        <v>0.2314691525207574</v>
      </c>
      <c r="T58" t="n">
        <v>17.32323353631369</v>
      </c>
      <c r="U58" t="n">
        <v>0.05357796856867765</v>
      </c>
    </row>
    <row r="59">
      <c r="A59" t="inlineStr">
        <is>
          <t>SGR</t>
        </is>
      </c>
      <c r="B59" t="n">
        <v>2020</v>
      </c>
      <c r="C59" t="inlineStr">
        <is>
          <t>Utilities</t>
        </is>
      </c>
      <c r="D59" t="inlineStr">
        <is>
          <t>ITA</t>
        </is>
      </c>
      <c r="E59" t="inlineStr">
        <is>
          <t>Italy</t>
        </is>
      </c>
      <c r="F59" t="inlineStr">
        <is>
          <t>BGR</t>
        </is>
      </c>
      <c r="G59" t="inlineStr">
        <is>
          <t>Bulgaria</t>
        </is>
      </c>
      <c r="H59" t="n">
        <v>22569134</v>
      </c>
      <c r="I59" t="n">
        <v>2624438</v>
      </c>
      <c r="J59" t="n">
        <v>369159</v>
      </c>
      <c r="K59" t="n">
        <v>76</v>
      </c>
      <c r="L59" t="n">
        <v>53181546</v>
      </c>
      <c r="M59" t="n">
        <v>391732</v>
      </c>
      <c r="N59" t="n">
        <v>22569134</v>
      </c>
      <c r="O59" t="n">
        <v>0</v>
      </c>
      <c r="P59" t="inlineStr"/>
      <c r="Q59" t="inlineStr"/>
      <c r="R59" t="inlineStr">
        <is>
          <t>EUR</t>
        </is>
      </c>
      <c r="S59" t="n">
        <v>0.1492631946344322</v>
      </c>
      <c r="T59" t="n">
        <v>14.78037733584811</v>
      </c>
      <c r="U59" t="n">
        <v>0.0222795012724764</v>
      </c>
    </row>
    <row r="60">
      <c r="A60" t="inlineStr">
        <is>
          <t>SGR</t>
        </is>
      </c>
      <c r="B60" t="n">
        <v>2021</v>
      </c>
      <c r="C60" t="inlineStr">
        <is>
          <t>Utilities</t>
        </is>
      </c>
      <c r="D60" t="inlineStr">
        <is>
          <t>ITA</t>
        </is>
      </c>
      <c r="E60" t="inlineStr">
        <is>
          <t>Italy</t>
        </is>
      </c>
      <c r="F60" t="inlineStr">
        <is>
          <t>ITA</t>
        </is>
      </c>
      <c r="G60" t="inlineStr">
        <is>
          <t>Italy</t>
        </is>
      </c>
      <c r="H60" t="n">
        <v>530717278</v>
      </c>
      <c r="I60" t="n">
        <v>28372324</v>
      </c>
      <c r="J60" t="n">
        <v>6109793</v>
      </c>
      <c r="K60" t="n">
        <v>467</v>
      </c>
      <c r="L60" t="n">
        <v>175426238</v>
      </c>
      <c r="M60" t="n">
        <v>6752345</v>
      </c>
      <c r="N60" t="n">
        <v>526858985</v>
      </c>
      <c r="O60" t="n">
        <v>3858293</v>
      </c>
      <c r="P60" t="inlineStr"/>
      <c r="Q60" t="inlineStr"/>
      <c r="R60" t="inlineStr">
        <is>
          <t>EUR</t>
        </is>
      </c>
      <c r="S60" t="n">
        <v>0.2379905502277501</v>
      </c>
      <c r="T60" t="n">
        <v>17.16092472094848</v>
      </c>
      <c r="U60" t="n">
        <v>0.05663950199770725</v>
      </c>
    </row>
    <row r="61">
      <c r="A61" t="inlineStr">
        <is>
          <t>SGR</t>
        </is>
      </c>
      <c r="B61" t="n">
        <v>2021</v>
      </c>
      <c r="C61" t="inlineStr">
        <is>
          <t>Utilities</t>
        </is>
      </c>
      <c r="D61" t="inlineStr">
        <is>
          <t>ITA</t>
        </is>
      </c>
      <c r="E61" t="inlineStr">
        <is>
          <t>Italy</t>
        </is>
      </c>
      <c r="F61" t="inlineStr">
        <is>
          <t>BGR</t>
        </is>
      </c>
      <c r="G61" t="inlineStr">
        <is>
          <t>Bulgaria</t>
        </is>
      </c>
      <c r="H61" t="n">
        <v>44688521</v>
      </c>
      <c r="I61" t="n">
        <v>3260983</v>
      </c>
      <c r="J61" t="n">
        <v>460184</v>
      </c>
      <c r="K61" t="n">
        <v>83</v>
      </c>
      <c r="L61" t="n">
        <v>53015279</v>
      </c>
      <c r="M61" t="n">
        <v>527503</v>
      </c>
      <c r="N61" t="n">
        <v>44688521</v>
      </c>
      <c r="O61" t="n">
        <v>0</v>
      </c>
      <c r="P61" t="inlineStr"/>
      <c r="Q61" t="inlineStr"/>
      <c r="R61" t="inlineStr">
        <is>
          <t>EUR</t>
        </is>
      </c>
      <c r="S61" t="n">
        <v>0.1617619595073019</v>
      </c>
      <c r="T61" t="n">
        <v>14.99753924163306</v>
      </c>
      <c r="U61" t="n">
        <v>0.02616693154364199</v>
      </c>
    </row>
    <row r="62">
      <c r="A62" t="inlineStr">
        <is>
          <t>TERNA</t>
        </is>
      </c>
      <c r="B62" t="n">
        <v>2020</v>
      </c>
      <c r="C62" t="inlineStr">
        <is>
          <t>Utilities</t>
        </is>
      </c>
      <c r="D62" t="inlineStr">
        <is>
          <t>ITA</t>
        </is>
      </c>
      <c r="E62" t="inlineStr">
        <is>
          <t>Italy</t>
        </is>
      </c>
      <c r="F62" t="inlineStr">
        <is>
          <t>ITA</t>
        </is>
      </c>
      <c r="G62" t="inlineStr">
        <is>
          <t>Italy</t>
        </is>
      </c>
      <c r="H62" t="inlineStr"/>
      <c r="I62" t="n">
        <v>1082900000</v>
      </c>
      <c r="J62" t="n">
        <v>343200000</v>
      </c>
      <c r="K62" t="inlineStr"/>
      <c r="L62" t="inlineStr"/>
      <c r="M62" t="n">
        <v>304600000</v>
      </c>
      <c r="N62" t="inlineStr"/>
      <c r="O62" t="inlineStr"/>
      <c r="P62" t="inlineStr"/>
      <c r="Q62" t="inlineStr"/>
      <c r="R62" t="inlineStr">
        <is>
          <t>EUR</t>
        </is>
      </c>
      <c r="S62" t="n">
        <v>0.2812817434666174</v>
      </c>
      <c r="T62" t="n">
        <v>20.80290846459861</v>
      </c>
      <c r="U62" t="n">
        <v>0.07911941920761999</v>
      </c>
    </row>
    <row r="63">
      <c r="A63" t="inlineStr">
        <is>
          <t>TERNA</t>
        </is>
      </c>
      <c r="B63" t="n">
        <v>2020</v>
      </c>
      <c r="C63" t="inlineStr">
        <is>
          <t>Utilities</t>
        </is>
      </c>
      <c r="D63" t="inlineStr">
        <is>
          <t>ITA</t>
        </is>
      </c>
      <c r="E63" t="inlineStr">
        <is>
          <t>Italy</t>
        </is>
      </c>
      <c r="F63" t="inlineStr">
        <is>
          <t>MNE</t>
        </is>
      </c>
      <c r="G63" t="inlineStr">
        <is>
          <t>Montenegro</t>
        </is>
      </c>
      <c r="H63" t="inlineStr"/>
      <c r="I63" t="n">
        <v>3700000</v>
      </c>
      <c r="J63" t="n">
        <v>0</v>
      </c>
      <c r="K63" t="inlineStr"/>
      <c r="L63" t="inlineStr"/>
      <c r="M63" t="n">
        <v>400000</v>
      </c>
      <c r="N63" t="inlineStr"/>
      <c r="O63" t="inlineStr"/>
      <c r="P63" t="inlineStr"/>
      <c r="Q63" t="inlineStr"/>
      <c r="R63" t="inlineStr">
        <is>
          <t>EUR</t>
        </is>
      </c>
      <c r="S63" t="n">
        <v>0.1081081081081081</v>
      </c>
      <c r="T63" t="n">
        <v>15.12384337761445</v>
      </c>
      <c r="U63" t="n">
        <v>0.01168736303871439</v>
      </c>
    </row>
    <row r="64">
      <c r="A64" t="inlineStr">
        <is>
          <t>TERNA</t>
        </is>
      </c>
      <c r="B64" t="n">
        <v>2020</v>
      </c>
      <c r="C64" t="inlineStr">
        <is>
          <t>Utilities</t>
        </is>
      </c>
      <c r="D64" t="inlineStr">
        <is>
          <t>ITA</t>
        </is>
      </c>
      <c r="E64" t="inlineStr">
        <is>
          <t>Italy</t>
        </is>
      </c>
      <c r="F64" t="inlineStr">
        <is>
          <t>BRA</t>
        </is>
      </c>
      <c r="G64" t="inlineStr">
        <is>
          <t>Brazil</t>
        </is>
      </c>
      <c r="H64" t="inlineStr"/>
      <c r="I64" t="n">
        <v>9000000</v>
      </c>
      <c r="J64" t="n">
        <v>0</v>
      </c>
      <c r="K64" t="inlineStr"/>
      <c r="L64" t="inlineStr"/>
      <c r="M64" t="n">
        <v>4600000</v>
      </c>
      <c r="N64" t="inlineStr"/>
      <c r="O64" t="inlineStr"/>
      <c r="P64" t="inlineStr"/>
      <c r="Q64" t="inlineStr"/>
      <c r="R64" t="inlineStr">
        <is>
          <t>EUR</t>
        </is>
      </c>
      <c r="S64" t="n">
        <v>0.5111111111111111</v>
      </c>
      <c r="T64" t="n">
        <v>16.01273513530049</v>
      </c>
      <c r="U64" t="n">
        <v>0.2612345679012345</v>
      </c>
    </row>
    <row r="65">
      <c r="A65" t="inlineStr">
        <is>
          <t>TERNA</t>
        </is>
      </c>
      <c r="B65" t="n">
        <v>2020</v>
      </c>
      <c r="C65" t="inlineStr">
        <is>
          <t>Utilities</t>
        </is>
      </c>
      <c r="D65" t="inlineStr">
        <is>
          <t>ITA</t>
        </is>
      </c>
      <c r="E65" t="inlineStr">
        <is>
          <t>Italy</t>
        </is>
      </c>
      <c r="F65" t="inlineStr">
        <is>
          <t>URY</t>
        </is>
      </c>
      <c r="G65" t="inlineStr">
        <is>
          <t>Uruguay</t>
        </is>
      </c>
      <c r="H65" t="inlineStr"/>
      <c r="I65" t="n">
        <v>1900000</v>
      </c>
      <c r="J65" t="n">
        <v>0</v>
      </c>
      <c r="K65" t="inlineStr"/>
      <c r="L65" t="inlineStr"/>
      <c r="M65" t="n">
        <v>1000000</v>
      </c>
      <c r="N65" t="inlineStr"/>
      <c r="O65" t="inlineStr"/>
      <c r="P65" t="inlineStr"/>
      <c r="Q65" t="inlineStr"/>
      <c r="R65" t="inlineStr">
        <is>
          <t>EUR</t>
        </is>
      </c>
      <c r="S65" t="n">
        <v>0.5263157894736842</v>
      </c>
      <c r="T65" t="n">
        <v>14.45736444413667</v>
      </c>
      <c r="U65" t="n">
        <v>0.2770083102493074</v>
      </c>
    </row>
    <row r="66">
      <c r="A66" t="inlineStr">
        <is>
          <t>TERNA</t>
        </is>
      </c>
      <c r="B66" t="n">
        <v>2021</v>
      </c>
      <c r="C66" t="inlineStr">
        <is>
          <t>Utilities</t>
        </is>
      </c>
      <c r="D66" t="inlineStr">
        <is>
          <t>ITA</t>
        </is>
      </c>
      <c r="E66" t="inlineStr">
        <is>
          <t>Italy</t>
        </is>
      </c>
      <c r="F66" t="inlineStr">
        <is>
          <t>ITA</t>
        </is>
      </c>
      <c r="G66" t="inlineStr">
        <is>
          <t>Italy</t>
        </is>
      </c>
      <c r="H66" t="inlineStr"/>
      <c r="I66" t="n">
        <v>1152700000</v>
      </c>
      <c r="J66" t="n">
        <v>327000000</v>
      </c>
      <c r="K66" t="inlineStr"/>
      <c r="L66" t="n">
        <v>14615300000</v>
      </c>
      <c r="M66" t="n">
        <v>328500000</v>
      </c>
      <c r="N66" t="inlineStr"/>
      <c r="O66" t="n">
        <v>716400000</v>
      </c>
      <c r="P66" t="inlineStr"/>
      <c r="Q66" t="inlineStr"/>
      <c r="R66" t="inlineStr">
        <is>
          <t>EUR</t>
        </is>
      </c>
      <c r="S66" t="n">
        <v>0.2849830831959747</v>
      </c>
      <c r="T66" t="n">
        <v>20.86537285357124</v>
      </c>
      <c r="U66" t="n">
        <v>0.08121535770788381</v>
      </c>
    </row>
    <row r="67">
      <c r="A67" t="inlineStr">
        <is>
          <t>TERNA</t>
        </is>
      </c>
      <c r="B67" t="n">
        <v>2021</v>
      </c>
      <c r="C67" t="inlineStr">
        <is>
          <t>Utilities</t>
        </is>
      </c>
      <c r="D67" t="inlineStr">
        <is>
          <t>ITA</t>
        </is>
      </c>
      <c r="E67" t="inlineStr">
        <is>
          <t>Italy</t>
        </is>
      </c>
      <c r="F67" t="inlineStr">
        <is>
          <t>MNE</t>
        </is>
      </c>
      <c r="G67" t="inlineStr">
        <is>
          <t>Montenegro</t>
        </is>
      </c>
      <c r="H67" t="inlineStr"/>
      <c r="I67" t="n">
        <v>8800000</v>
      </c>
      <c r="J67" t="inlineStr"/>
      <c r="K67" t="inlineStr"/>
      <c r="L67" t="n">
        <v>201000000</v>
      </c>
      <c r="M67" t="n">
        <v>500000</v>
      </c>
      <c r="N67" t="inlineStr"/>
      <c r="O67" t="n">
        <v>15900000</v>
      </c>
      <c r="P67" t="inlineStr"/>
      <c r="Q67" t="inlineStr"/>
      <c r="R67" t="inlineStr">
        <is>
          <t>EUR</t>
        </is>
      </c>
      <c r="S67" t="n">
        <v>0.05681818181818182</v>
      </c>
      <c r="T67" t="n">
        <v>15.99026227944844</v>
      </c>
      <c r="U67" t="n">
        <v>0.003228305785123967</v>
      </c>
    </row>
    <row r="68">
      <c r="A68" t="inlineStr">
        <is>
          <t>TERNA</t>
        </is>
      </c>
      <c r="B68" t="n">
        <v>2021</v>
      </c>
      <c r="C68" t="inlineStr">
        <is>
          <t>Utilities</t>
        </is>
      </c>
      <c r="D68" t="inlineStr">
        <is>
          <t>ITA</t>
        </is>
      </c>
      <c r="E68" t="inlineStr">
        <is>
          <t>Italy</t>
        </is>
      </c>
      <c r="F68" t="inlineStr">
        <is>
          <t>BRA</t>
        </is>
      </c>
      <c r="G68" t="inlineStr">
        <is>
          <t>Brazil</t>
        </is>
      </c>
      <c r="H68" t="inlineStr"/>
      <c r="I68" t="n">
        <v>5400000</v>
      </c>
      <c r="J68" t="inlineStr"/>
      <c r="K68" t="inlineStr"/>
      <c r="L68" t="n">
        <v>900000</v>
      </c>
      <c r="M68" t="n">
        <v>4000000</v>
      </c>
      <c r="N68" t="inlineStr"/>
      <c r="O68" t="inlineStr"/>
      <c r="P68" t="inlineStr"/>
      <c r="Q68" t="inlineStr"/>
      <c r="R68" t="inlineStr">
        <is>
          <t>EUR</t>
        </is>
      </c>
      <c r="S68" t="n">
        <v>0.7407407407407407</v>
      </c>
      <c r="T68" t="n">
        <v>15.5019095115345</v>
      </c>
      <c r="U68" t="n">
        <v>0.5486968449931412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ENEL</t>
        </is>
      </c>
      <c r="B2" t="n">
        <v>2020</v>
      </c>
      <c r="C2" t="inlineStr">
        <is>
          <t>Utilities</t>
        </is>
      </c>
      <c r="D2" t="inlineStr">
        <is>
          <t>ITA</t>
        </is>
      </c>
      <c r="E2" t="inlineStr">
        <is>
          <t>Italy</t>
        </is>
      </c>
      <c r="F2" t="inlineStr">
        <is>
          <t>ITA</t>
        </is>
      </c>
      <c r="G2" t="inlineStr">
        <is>
          <t>Italy</t>
        </is>
      </c>
      <c r="H2" t="n">
        <v>42320400000</v>
      </c>
      <c r="I2" t="n">
        <v>1532800000</v>
      </c>
      <c r="J2" t="n">
        <v>1025400000</v>
      </c>
      <c r="K2" t="n">
        <v>29777</v>
      </c>
      <c r="L2" t="n">
        <v>28235700000</v>
      </c>
      <c r="M2" t="n">
        <v>1038000000</v>
      </c>
      <c r="N2" t="n">
        <v>40231600000</v>
      </c>
      <c r="O2" t="n">
        <v>2088800000</v>
      </c>
      <c r="P2" t="inlineStr"/>
      <c r="Q2" t="inlineStr"/>
      <c r="R2" t="inlineStr">
        <is>
          <t>EUR</t>
        </is>
      </c>
      <c r="S2" t="n">
        <v>0.6771920668058455</v>
      </c>
      <c r="T2" t="n">
        <v>21.15036196518087</v>
      </c>
      <c r="U2" t="n">
        <v>0.4585890953447728</v>
      </c>
      <c r="V2" t="n">
        <v>10.30149156241267</v>
      </c>
      <c r="W2" t="n">
        <v>24.06385297168881</v>
      </c>
      <c r="X2" t="n">
        <v>21.45985557534919</v>
      </c>
    </row>
    <row r="3">
      <c r="A3" t="inlineStr">
        <is>
          <t>ENEL</t>
        </is>
      </c>
      <c r="B3" t="n">
        <v>2020</v>
      </c>
      <c r="C3" t="inlineStr">
        <is>
          <t>Utilities</t>
        </is>
      </c>
      <c r="D3" t="inlineStr">
        <is>
          <t>ITA</t>
        </is>
      </c>
      <c r="E3" t="inlineStr">
        <is>
          <t>Italy</t>
        </is>
      </c>
      <c r="F3" t="inlineStr">
        <is>
          <t>ESP</t>
        </is>
      </c>
      <c r="G3" t="inlineStr">
        <is>
          <t>Spain</t>
        </is>
      </c>
      <c r="H3" t="n">
        <v>16793400000</v>
      </c>
      <c r="I3" t="n">
        <v>1637300000</v>
      </c>
      <c r="J3" t="n">
        <v>136200000</v>
      </c>
      <c r="K3" t="n">
        <v>9659</v>
      </c>
      <c r="L3" t="n">
        <v>22958200000</v>
      </c>
      <c r="M3" t="n">
        <v>120000000</v>
      </c>
      <c r="N3" t="n">
        <v>15761000000</v>
      </c>
      <c r="O3" t="n">
        <v>1032400000</v>
      </c>
      <c r="P3" t="inlineStr"/>
      <c r="Q3" t="inlineStr"/>
      <c r="R3" t="inlineStr">
        <is>
          <t>EUR</t>
        </is>
      </c>
      <c r="S3" t="n">
        <v>0.07329139436877787</v>
      </c>
      <c r="T3" t="n">
        <v>21.21631438060972</v>
      </c>
      <c r="U3" t="n">
        <v>0.005371628488519724</v>
      </c>
      <c r="V3" t="n">
        <v>9.175645402179295</v>
      </c>
      <c r="W3" t="n">
        <v>23.85694100811201</v>
      </c>
      <c r="X3" t="n">
        <v>20.75515202580873</v>
      </c>
    </row>
    <row r="4">
      <c r="A4" t="inlineStr">
        <is>
          <t>ENEL</t>
        </is>
      </c>
      <c r="B4" t="n">
        <v>2020</v>
      </c>
      <c r="C4" t="inlineStr">
        <is>
          <t>Utilities</t>
        </is>
      </c>
      <c r="D4" t="inlineStr">
        <is>
          <t>ITA</t>
        </is>
      </c>
      <c r="E4" t="inlineStr">
        <is>
          <t>Italy</t>
        </is>
      </c>
      <c r="F4" t="inlineStr">
        <is>
          <t>RUS</t>
        </is>
      </c>
      <c r="G4" t="inlineStr">
        <is>
          <t>Russia</t>
        </is>
      </c>
      <c r="H4" t="n">
        <v>553100000</v>
      </c>
      <c r="I4" t="n">
        <v>52300000</v>
      </c>
      <c r="J4" t="n">
        <v>13200000</v>
      </c>
      <c r="K4" t="n">
        <v>1475</v>
      </c>
      <c r="L4" t="n">
        <v>606500000</v>
      </c>
      <c r="M4" t="n">
        <v>10700000</v>
      </c>
      <c r="N4" t="n">
        <v>547600000</v>
      </c>
      <c r="O4" t="n">
        <v>5500000</v>
      </c>
      <c r="P4" t="inlineStr"/>
      <c r="Q4" t="inlineStr"/>
      <c r="R4" t="inlineStr">
        <is>
          <t>EUR</t>
        </is>
      </c>
      <c r="S4" t="n">
        <v>0.2045889101338432</v>
      </c>
      <c r="T4" t="n">
        <v>17.77250692903515</v>
      </c>
      <c r="U4" t="n">
        <v>0.04185662214975377</v>
      </c>
      <c r="V4" t="n">
        <v>7.29641326877392</v>
      </c>
      <c r="W4" t="n">
        <v>20.22321528634838</v>
      </c>
      <c r="X4" t="n">
        <v>15.5202586502027</v>
      </c>
    </row>
    <row r="5">
      <c r="A5" t="inlineStr">
        <is>
          <t>ENEL</t>
        </is>
      </c>
      <c r="B5" t="n">
        <v>2020</v>
      </c>
      <c r="C5" t="inlineStr">
        <is>
          <t>Utilities</t>
        </is>
      </c>
      <c r="D5" t="inlineStr">
        <is>
          <t>ITA</t>
        </is>
      </c>
      <c r="E5" t="inlineStr">
        <is>
          <t>Italy</t>
        </is>
      </c>
      <c r="F5" t="inlineStr">
        <is>
          <t>ROU</t>
        </is>
      </c>
      <c r="G5" t="inlineStr">
        <is>
          <t>Romania</t>
        </is>
      </c>
      <c r="H5" t="n">
        <v>1406200000</v>
      </c>
      <c r="I5" t="n">
        <v>223300000</v>
      </c>
      <c r="J5" t="n">
        <v>21100000</v>
      </c>
      <c r="K5" t="n">
        <v>3248</v>
      </c>
      <c r="L5" t="n">
        <v>1993000000</v>
      </c>
      <c r="M5" t="n">
        <v>23800000</v>
      </c>
      <c r="N5" t="n">
        <v>1401300000</v>
      </c>
      <c r="O5" t="n">
        <v>4900000</v>
      </c>
      <c r="P5" t="inlineStr"/>
      <c r="Q5" t="inlineStr"/>
      <c r="R5" t="inlineStr">
        <is>
          <t>EUR</t>
        </is>
      </c>
      <c r="S5" t="n">
        <v>0.1065830721003135</v>
      </c>
      <c r="T5" t="n">
        <v>19.22402671681039</v>
      </c>
      <c r="U5" t="n">
        <v>0.01135995125834062</v>
      </c>
      <c r="V5" t="n">
        <v>8.085794701281568</v>
      </c>
      <c r="W5" t="n">
        <v>21.41290687817707</v>
      </c>
      <c r="X5" t="n">
        <v>15.40474576308086</v>
      </c>
    </row>
    <row r="6">
      <c r="A6" t="inlineStr">
        <is>
          <t>ENEL</t>
        </is>
      </c>
      <c r="B6" t="n">
        <v>2020</v>
      </c>
      <c r="C6" t="inlineStr">
        <is>
          <t>Utilities</t>
        </is>
      </c>
      <c r="D6" t="inlineStr">
        <is>
          <t>ITA</t>
        </is>
      </c>
      <c r="E6" t="inlineStr">
        <is>
          <t>Italy</t>
        </is>
      </c>
      <c r="F6" t="inlineStr">
        <is>
          <t>NLD</t>
        </is>
      </c>
      <c r="G6" t="inlineStr">
        <is>
          <t>Netherlands</t>
        </is>
      </c>
      <c r="H6" t="n">
        <v>3740800000</v>
      </c>
      <c r="I6" t="n">
        <v>301400000</v>
      </c>
      <c r="J6" t="n">
        <v>43400000</v>
      </c>
      <c r="K6" t="n">
        <v>20</v>
      </c>
      <c r="L6" t="n">
        <v>100000</v>
      </c>
      <c r="M6" t="n">
        <v>75200000</v>
      </c>
      <c r="N6" t="n">
        <v>2209800000</v>
      </c>
      <c r="O6" t="n">
        <v>1531000000</v>
      </c>
      <c r="P6" t="inlineStr"/>
      <c r="Q6" t="inlineStr"/>
      <c r="R6" t="inlineStr">
        <is>
          <t>EUR</t>
        </is>
      </c>
      <c r="S6" t="n">
        <v>0.2495023224950232</v>
      </c>
      <c r="T6" t="n">
        <v>19.52394884415667</v>
      </c>
      <c r="U6" t="n">
        <v>0.06225140893041057</v>
      </c>
      <c r="V6" t="n">
        <v>2.995732273553991</v>
      </c>
      <c r="W6" t="n">
        <v>11.51292546497023</v>
      </c>
      <c r="X6" t="n">
        <v>21.14918695362196</v>
      </c>
    </row>
    <row r="7">
      <c r="A7" t="inlineStr">
        <is>
          <t>ENEL</t>
        </is>
      </c>
      <c r="B7" t="n">
        <v>2020</v>
      </c>
      <c r="C7" t="inlineStr">
        <is>
          <t>Utilities</t>
        </is>
      </c>
      <c r="D7" t="inlineStr">
        <is>
          <t>ITA</t>
        </is>
      </c>
      <c r="E7" t="inlineStr">
        <is>
          <t>Italy</t>
        </is>
      </c>
      <c r="F7" t="inlineStr">
        <is>
          <t>OTHER</t>
        </is>
      </c>
      <c r="G7" t="inlineStr">
        <is>
          <t>USA and Canada</t>
        </is>
      </c>
      <c r="H7" t="n">
        <v>1295600000</v>
      </c>
      <c r="I7" t="n">
        <v>201600000</v>
      </c>
      <c r="J7" t="n">
        <v>3500000</v>
      </c>
      <c r="K7" t="n">
        <v>1306</v>
      </c>
      <c r="L7" t="n">
        <v>7305700000</v>
      </c>
      <c r="M7" t="n">
        <v>0</v>
      </c>
      <c r="N7" t="n">
        <v>1271000000</v>
      </c>
      <c r="O7" t="n">
        <v>24600000</v>
      </c>
      <c r="P7" t="inlineStr"/>
      <c r="Q7" t="inlineStr"/>
      <c r="R7" t="inlineStr">
        <is>
          <t>EUR</t>
        </is>
      </c>
      <c r="S7" t="n">
        <v>0</v>
      </c>
      <c r="T7" t="n">
        <v>19.12179609416149</v>
      </c>
      <c r="U7" t="n">
        <v>0</v>
      </c>
      <c r="V7" t="n">
        <v>7.174724309836376</v>
      </c>
      <c r="W7" t="n">
        <v>22.71192070233572</v>
      </c>
      <c r="X7" t="n">
        <v>17.01825700090259</v>
      </c>
    </row>
    <row r="8">
      <c r="A8" t="inlineStr">
        <is>
          <t>ENEL</t>
        </is>
      </c>
      <c r="B8" t="n">
        <v>2020</v>
      </c>
      <c r="C8" t="inlineStr">
        <is>
          <t>Utilities</t>
        </is>
      </c>
      <c r="D8" t="inlineStr">
        <is>
          <t>ITA</t>
        </is>
      </c>
      <c r="E8" t="inlineStr">
        <is>
          <t>Italy</t>
        </is>
      </c>
      <c r="F8" t="inlineStr">
        <is>
          <t>MEX</t>
        </is>
      </c>
      <c r="G8" t="inlineStr">
        <is>
          <t>Mexico</t>
        </is>
      </c>
      <c r="H8" t="n">
        <v>167600000</v>
      </c>
      <c r="I8" t="n">
        <v>32800000</v>
      </c>
      <c r="J8" t="n">
        <v>15400000</v>
      </c>
      <c r="K8" t="n">
        <v>333</v>
      </c>
      <c r="L8" t="n">
        <v>1207000000</v>
      </c>
      <c r="M8" t="n">
        <v>8700000</v>
      </c>
      <c r="N8" t="n">
        <v>164600000</v>
      </c>
      <c r="O8" t="n">
        <v>3000000</v>
      </c>
      <c r="P8" t="inlineStr"/>
      <c r="Q8" t="inlineStr"/>
      <c r="R8" t="inlineStr">
        <is>
          <t>EUR</t>
        </is>
      </c>
      <c r="S8" t="n">
        <v>0.2652439024390244</v>
      </c>
      <c r="T8" t="n">
        <v>17.30593907335437</v>
      </c>
      <c r="U8" t="n">
        <v>0.07035432778108269</v>
      </c>
      <c r="V8" t="n">
        <v>5.808142489980444</v>
      </c>
      <c r="W8" t="n">
        <v>20.91140377906181</v>
      </c>
      <c r="X8" t="n">
        <v>14.91412284663238</v>
      </c>
    </row>
    <row r="9">
      <c r="A9" t="inlineStr">
        <is>
          <t>ENEL</t>
        </is>
      </c>
      <c r="B9" t="n">
        <v>2020</v>
      </c>
      <c r="C9" t="inlineStr">
        <is>
          <t>Utilities</t>
        </is>
      </c>
      <c r="D9" t="inlineStr">
        <is>
          <t>ITA</t>
        </is>
      </c>
      <c r="E9" t="inlineStr">
        <is>
          <t>Italy</t>
        </is>
      </c>
      <c r="F9" t="inlineStr">
        <is>
          <t>BRA</t>
        </is>
      </c>
      <c r="G9" t="inlineStr">
        <is>
          <t>Brazil</t>
        </is>
      </c>
      <c r="H9" t="n">
        <v>7337600000</v>
      </c>
      <c r="I9" t="n">
        <v>286700000</v>
      </c>
      <c r="J9" t="n">
        <v>141400000</v>
      </c>
      <c r="K9" t="n">
        <v>10137</v>
      </c>
      <c r="L9" t="n">
        <v>2602500000</v>
      </c>
      <c r="M9" t="n">
        <v>112400000</v>
      </c>
      <c r="N9" t="n">
        <v>7298100000</v>
      </c>
      <c r="O9" t="n">
        <v>39500000</v>
      </c>
      <c r="P9" t="inlineStr"/>
      <c r="Q9" t="inlineStr"/>
      <c r="R9" t="inlineStr">
        <is>
          <t>EUR</t>
        </is>
      </c>
      <c r="S9" t="n">
        <v>0.3920474363446111</v>
      </c>
      <c r="T9" t="n">
        <v>19.4739469308536</v>
      </c>
      <c r="U9" t="n">
        <v>0.1537011923443819</v>
      </c>
      <c r="V9" t="n">
        <v>9.2239473753824</v>
      </c>
      <c r="W9" t="n">
        <v>21.6797383584534</v>
      </c>
      <c r="X9" t="n">
        <v>17.49181122987135</v>
      </c>
    </row>
    <row r="10">
      <c r="A10" t="inlineStr">
        <is>
          <t>ENEL</t>
        </is>
      </c>
      <c r="B10" t="n">
        <v>2020</v>
      </c>
      <c r="C10" t="inlineStr">
        <is>
          <t>Utilities</t>
        </is>
      </c>
      <c r="D10" t="inlineStr">
        <is>
          <t>ITA</t>
        </is>
      </c>
      <c r="E10" t="inlineStr">
        <is>
          <t>Italy</t>
        </is>
      </c>
      <c r="F10" t="inlineStr">
        <is>
          <t>COL</t>
        </is>
      </c>
      <c r="G10" t="inlineStr">
        <is>
          <t>Colombia</t>
        </is>
      </c>
      <c r="H10" t="n">
        <v>2086800000</v>
      </c>
      <c r="I10" t="n">
        <v>740100000</v>
      </c>
      <c r="J10" t="n">
        <v>233100000</v>
      </c>
      <c r="K10" t="n">
        <v>2191</v>
      </c>
      <c r="L10" t="n">
        <v>3652000000</v>
      </c>
      <c r="M10" t="n">
        <v>237400000</v>
      </c>
      <c r="N10" t="n">
        <v>2079700000</v>
      </c>
      <c r="O10" t="n">
        <v>7100000</v>
      </c>
      <c r="P10" t="inlineStr"/>
      <c r="Q10" t="inlineStr"/>
      <c r="R10" t="inlineStr">
        <is>
          <t>EUR</t>
        </is>
      </c>
      <c r="S10" t="n">
        <v>0.3207674638562357</v>
      </c>
      <c r="T10" t="n">
        <v>20.42229587016769</v>
      </c>
      <c r="U10" t="n">
        <v>0.1028917658687615</v>
      </c>
      <c r="V10" t="n">
        <v>7.692113339595466</v>
      </c>
      <c r="W10" t="n">
        <v>22.01854079967913</v>
      </c>
      <c r="X10" t="n">
        <v>15.77560534201154</v>
      </c>
    </row>
    <row r="11">
      <c r="A11" t="inlineStr">
        <is>
          <t>ENEL</t>
        </is>
      </c>
      <c r="B11" t="n">
        <v>2020</v>
      </c>
      <c r="C11" t="inlineStr">
        <is>
          <t>Utilities</t>
        </is>
      </c>
      <c r="D11" t="inlineStr">
        <is>
          <t>ITA</t>
        </is>
      </c>
      <c r="E11" t="inlineStr">
        <is>
          <t>Italy</t>
        </is>
      </c>
      <c r="F11" t="inlineStr">
        <is>
          <t>ARG</t>
        </is>
      </c>
      <c r="G11" t="inlineStr">
        <is>
          <t>Argentina</t>
        </is>
      </c>
      <c r="H11" t="n">
        <v>1648900000</v>
      </c>
      <c r="I11" t="n">
        <v>140800000</v>
      </c>
      <c r="J11" t="n">
        <v>79600000</v>
      </c>
      <c r="K11" t="n">
        <v>4074</v>
      </c>
      <c r="L11" t="n">
        <v>1287700000</v>
      </c>
      <c r="M11" t="n">
        <v>52400000</v>
      </c>
      <c r="N11" t="n">
        <v>1586400000</v>
      </c>
      <c r="O11" t="n">
        <v>62500000</v>
      </c>
      <c r="P11" t="inlineStr"/>
      <c r="Q11" t="inlineStr"/>
      <c r="R11" t="inlineStr">
        <is>
          <t>EUR</t>
        </is>
      </c>
      <c r="S11" t="n">
        <v>0.3721590909090909</v>
      </c>
      <c r="T11" t="n">
        <v>18.76285100168822</v>
      </c>
      <c r="U11" t="n">
        <v>0.138502388946281</v>
      </c>
      <c r="V11" t="n">
        <v>8.312380596786751</v>
      </c>
      <c r="W11" t="n">
        <v>20.97612351824401</v>
      </c>
      <c r="X11" t="n">
        <v>17.95067711470663</v>
      </c>
    </row>
    <row r="12">
      <c r="A12" t="inlineStr">
        <is>
          <t>ENEL</t>
        </is>
      </c>
      <c r="B12" t="n">
        <v>2020</v>
      </c>
      <c r="C12" t="inlineStr">
        <is>
          <t>Utilities</t>
        </is>
      </c>
      <c r="D12" t="inlineStr">
        <is>
          <t>ITA</t>
        </is>
      </c>
      <c r="E12" t="inlineStr">
        <is>
          <t>Italy</t>
        </is>
      </c>
      <c r="F12" t="inlineStr">
        <is>
          <t>PAN</t>
        </is>
      </c>
      <c r="G12" t="inlineStr">
        <is>
          <t>Panama</t>
        </is>
      </c>
      <c r="H12" t="n">
        <v>137200000</v>
      </c>
      <c r="I12" t="n">
        <v>83400000</v>
      </c>
      <c r="J12" t="n">
        <v>15900000</v>
      </c>
      <c r="K12" t="n">
        <v>99</v>
      </c>
      <c r="L12" t="n">
        <v>339200000</v>
      </c>
      <c r="M12" t="n">
        <v>26900000</v>
      </c>
      <c r="N12" t="n">
        <v>136700000</v>
      </c>
      <c r="O12" t="n">
        <v>500000</v>
      </c>
      <c r="P12" t="inlineStr"/>
      <c r="Q12" t="inlineStr"/>
      <c r="R12" t="inlineStr">
        <is>
          <t>EUR</t>
        </is>
      </c>
      <c r="S12" t="n">
        <v>0.3225419664268585</v>
      </c>
      <c r="T12" t="n">
        <v>18.23915886732897</v>
      </c>
      <c r="U12" t="n">
        <v>0.1040333201065047</v>
      </c>
      <c r="V12" t="n">
        <v>4.59511985013459</v>
      </c>
      <c r="W12" t="n">
        <v>19.64210046188202</v>
      </c>
      <c r="X12" t="n">
        <v>13.12236337740433</v>
      </c>
    </row>
    <row r="13">
      <c r="A13" t="inlineStr">
        <is>
          <t>ENEL</t>
        </is>
      </c>
      <c r="B13" t="n">
        <v>2020</v>
      </c>
      <c r="C13" t="inlineStr">
        <is>
          <t>Utilities</t>
        </is>
      </c>
      <c r="D13" t="inlineStr">
        <is>
          <t>ITA</t>
        </is>
      </c>
      <c r="E13" t="inlineStr">
        <is>
          <t>Italy</t>
        </is>
      </c>
      <c r="F13" t="inlineStr">
        <is>
          <t>GTM</t>
        </is>
      </c>
      <c r="G13" t="inlineStr">
        <is>
          <t>Guatemala</t>
        </is>
      </c>
      <c r="H13" t="n">
        <v>46100000</v>
      </c>
      <c r="I13" t="n">
        <v>16700000</v>
      </c>
      <c r="J13" t="n">
        <v>1900000</v>
      </c>
      <c r="K13" t="n">
        <v>86</v>
      </c>
      <c r="L13" t="n">
        <v>309800000</v>
      </c>
      <c r="M13" t="n">
        <v>2100000</v>
      </c>
      <c r="N13" t="n">
        <v>45200000</v>
      </c>
      <c r="O13" t="n">
        <v>900000</v>
      </c>
      <c r="P13" t="inlineStr"/>
      <c r="Q13" t="inlineStr"/>
      <c r="R13" t="inlineStr">
        <is>
          <t>EUR</t>
        </is>
      </c>
      <c r="S13" t="n">
        <v>0.125748502994012</v>
      </c>
      <c r="T13" t="n">
        <v>16.63091927738698</v>
      </c>
      <c r="U13" t="n">
        <v>0.01581268600523504</v>
      </c>
      <c r="V13" t="n">
        <v>4.454347296253507</v>
      </c>
      <c r="W13" t="n">
        <v>19.55143748594704</v>
      </c>
      <c r="X13" t="n">
        <v>13.71015004230645</v>
      </c>
    </row>
    <row r="14">
      <c r="A14" t="inlineStr">
        <is>
          <t>ENEL</t>
        </is>
      </c>
      <c r="B14" t="n">
        <v>2020</v>
      </c>
      <c r="C14" t="inlineStr">
        <is>
          <t>Utilities</t>
        </is>
      </c>
      <c r="D14" t="inlineStr">
        <is>
          <t>ITA</t>
        </is>
      </c>
      <c r="E14" t="inlineStr">
        <is>
          <t>Italy</t>
        </is>
      </c>
      <c r="F14" t="inlineStr">
        <is>
          <t>CRI</t>
        </is>
      </c>
      <c r="G14" t="inlineStr">
        <is>
          <t>Costa Rica</t>
        </is>
      </c>
      <c r="H14" t="n">
        <v>22300000</v>
      </c>
      <c r="I14" t="n">
        <v>5300000</v>
      </c>
      <c r="J14" t="n">
        <v>400000</v>
      </c>
      <c r="K14" t="n">
        <v>37</v>
      </c>
      <c r="L14" t="n">
        <v>145300000</v>
      </c>
      <c r="M14" t="n">
        <v>1300000</v>
      </c>
      <c r="N14" t="n">
        <v>21900000</v>
      </c>
      <c r="O14" t="n">
        <v>400000</v>
      </c>
      <c r="P14" t="inlineStr"/>
      <c r="Q14" t="inlineStr"/>
      <c r="R14" t="inlineStr">
        <is>
          <t>EUR</t>
        </is>
      </c>
      <c r="S14" t="n">
        <v>0.2452830188679245</v>
      </c>
      <c r="T14" t="n">
        <v>15.48321737852235</v>
      </c>
      <c r="U14" t="n">
        <v>0.06016375934496262</v>
      </c>
      <c r="V14" t="n">
        <v>3.610917912644224</v>
      </c>
      <c r="W14" t="n">
        <v>18.79431112854051</v>
      </c>
      <c r="X14" t="n">
        <v>12.89921982609012</v>
      </c>
    </row>
    <row r="15">
      <c r="A15" t="inlineStr">
        <is>
          <t>ENEL</t>
        </is>
      </c>
      <c r="B15" t="n">
        <v>2020</v>
      </c>
      <c r="C15" t="inlineStr">
        <is>
          <t>Utilities</t>
        </is>
      </c>
      <c r="D15" t="inlineStr">
        <is>
          <t>ITA</t>
        </is>
      </c>
      <c r="E15" t="inlineStr">
        <is>
          <t>Italy</t>
        </is>
      </c>
      <c r="F15" t="inlineStr">
        <is>
          <t>BGR</t>
        </is>
      </c>
      <c r="G15" t="inlineStr">
        <is>
          <t>Bulgaria</t>
        </is>
      </c>
      <c r="H15" t="n">
        <v>9300000</v>
      </c>
      <c r="I15" t="n">
        <v>4100000</v>
      </c>
      <c r="J15" t="n">
        <v>400000</v>
      </c>
      <c r="K15" t="n">
        <v>6</v>
      </c>
      <c r="L15" t="n">
        <v>31400000</v>
      </c>
      <c r="M15" t="n">
        <v>400000</v>
      </c>
      <c r="N15" t="n">
        <v>9200000</v>
      </c>
      <c r="O15" t="n">
        <v>100000</v>
      </c>
      <c r="P15" t="inlineStr"/>
      <c r="Q15" t="inlineStr"/>
      <c r="R15" t="inlineStr">
        <is>
          <t>EUR</t>
        </is>
      </c>
      <c r="S15" t="n">
        <v>0.0975609756097561</v>
      </c>
      <c r="T15" t="n">
        <v>15.22649753167454</v>
      </c>
      <c r="U15" t="n">
        <v>0.009518143961927425</v>
      </c>
      <c r="V15" t="n">
        <v>1.791759469228055</v>
      </c>
      <c r="W15" t="n">
        <v>17.26231845087848</v>
      </c>
      <c r="X15" t="n">
        <v>11.51292546497023</v>
      </c>
    </row>
    <row r="16">
      <c r="A16" t="inlineStr">
        <is>
          <t>ENEL</t>
        </is>
      </c>
      <c r="B16" t="n">
        <v>2020</v>
      </c>
      <c r="C16" t="inlineStr">
        <is>
          <t>Utilities</t>
        </is>
      </c>
      <c r="D16" t="inlineStr">
        <is>
          <t>ITA</t>
        </is>
      </c>
      <c r="E16" t="inlineStr">
        <is>
          <t>Italy</t>
        </is>
      </c>
      <c r="F16" t="inlineStr">
        <is>
          <t>FRA</t>
        </is>
      </c>
      <c r="G16" t="inlineStr">
        <is>
          <t>France</t>
        </is>
      </c>
      <c r="H16" t="n">
        <v>307700000</v>
      </c>
      <c r="I16" t="n">
        <v>6700000</v>
      </c>
      <c r="J16" t="n">
        <v>1600000</v>
      </c>
      <c r="K16" t="n">
        <v>57</v>
      </c>
      <c r="L16" t="n">
        <v>23000000</v>
      </c>
      <c r="M16" t="n">
        <v>100000</v>
      </c>
      <c r="N16" t="n">
        <v>277700000</v>
      </c>
      <c r="O16" t="n">
        <v>30000000</v>
      </c>
      <c r="P16" t="inlineStr"/>
      <c r="Q16" t="inlineStr"/>
      <c r="R16" t="inlineStr">
        <is>
          <t>EUR</t>
        </is>
      </c>
      <c r="S16" t="n">
        <v>0.01492537313432836</v>
      </c>
      <c r="T16" t="n">
        <v>15.7176180843612</v>
      </c>
      <c r="U16" t="n">
        <v>0.0002227667631989307</v>
      </c>
      <c r="V16" t="n">
        <v>4.04305126783455</v>
      </c>
      <c r="W16" t="n">
        <v>16.95100477389342</v>
      </c>
      <c r="X16" t="n">
        <v>17.21670793962643</v>
      </c>
    </row>
    <row r="17">
      <c r="A17" t="inlineStr">
        <is>
          <t>ENEL</t>
        </is>
      </c>
      <c r="B17" t="n">
        <v>2020</v>
      </c>
      <c r="C17" t="inlineStr">
        <is>
          <t>Utilities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260300000</v>
      </c>
      <c r="I17" t="n">
        <v>19900000</v>
      </c>
      <c r="J17" t="n">
        <v>300000</v>
      </c>
      <c r="K17" t="n">
        <v>23</v>
      </c>
      <c r="L17" t="n">
        <v>700000</v>
      </c>
      <c r="M17" t="n">
        <v>900000</v>
      </c>
      <c r="N17" t="n">
        <v>223200000</v>
      </c>
      <c r="O17" t="n">
        <v>37100000</v>
      </c>
      <c r="P17" t="inlineStr"/>
      <c r="Q17" t="inlineStr"/>
      <c r="R17" t="inlineStr">
        <is>
          <t>EUR</t>
        </is>
      </c>
      <c r="S17" t="n">
        <v>0.04522613065326633</v>
      </c>
      <c r="T17" t="n">
        <v>16.80623028969472</v>
      </c>
      <c r="U17" t="n">
        <v>0.002045402893866316</v>
      </c>
      <c r="V17" t="n">
        <v>3.13549421592915</v>
      </c>
      <c r="W17" t="n">
        <v>13.45883561402554</v>
      </c>
      <c r="X17" t="n">
        <v>17.42912752757766</v>
      </c>
    </row>
    <row r="18">
      <c r="A18" t="inlineStr">
        <is>
          <t>ENEL</t>
        </is>
      </c>
      <c r="B18" t="n">
        <v>2020</v>
      </c>
      <c r="C18" t="inlineStr">
        <is>
          <t>Utilities</t>
        </is>
      </c>
      <c r="D18" t="inlineStr">
        <is>
          <t>ITA</t>
        </is>
      </c>
      <c r="E18" t="inlineStr">
        <is>
          <t>Italy</t>
        </is>
      </c>
      <c r="F18" t="inlineStr">
        <is>
          <t>GRC</t>
        </is>
      </c>
      <c r="G18" t="inlineStr">
        <is>
          <t>Greece</t>
        </is>
      </c>
      <c r="H18" t="n">
        <v>115500000</v>
      </c>
      <c r="I18" t="n">
        <v>27900000</v>
      </c>
      <c r="J18" t="n">
        <v>300000</v>
      </c>
      <c r="K18" t="n">
        <v>114</v>
      </c>
      <c r="L18" t="n">
        <v>628800000</v>
      </c>
      <c r="M18" t="n">
        <v>6000000</v>
      </c>
      <c r="N18" t="n">
        <v>111900000</v>
      </c>
      <c r="O18" t="n">
        <v>3600000</v>
      </c>
      <c r="P18" t="inlineStr"/>
      <c r="Q18" t="inlineStr"/>
      <c r="R18" t="inlineStr">
        <is>
          <t>EUR</t>
        </is>
      </c>
      <c r="S18" t="n">
        <v>0.2150537634408602</v>
      </c>
      <c r="T18" t="n">
        <v>17.14413724679159</v>
      </c>
      <c r="U18" t="n">
        <v>0.04624812117007747</v>
      </c>
      <c r="V18" t="n">
        <v>4.736198448394496</v>
      </c>
      <c r="W18" t="n">
        <v>20.25932379907927</v>
      </c>
      <c r="X18" t="n">
        <v>15.09644440342634</v>
      </c>
    </row>
    <row r="19">
      <c r="A19" t="inlineStr">
        <is>
          <t>ENEL</t>
        </is>
      </c>
      <c r="B19" t="n">
        <v>2020</v>
      </c>
      <c r="C19" t="inlineStr">
        <is>
          <t>Utilities</t>
        </is>
      </c>
      <c r="D19" t="inlineStr">
        <is>
          <t>ITA</t>
        </is>
      </c>
      <c r="E19" t="inlineStr">
        <is>
          <t>Italy</t>
        </is>
      </c>
      <c r="F19" t="inlineStr">
        <is>
          <t>IRL</t>
        </is>
      </c>
      <c r="G19" t="inlineStr">
        <is>
          <t>Ireland</t>
        </is>
      </c>
      <c r="H19" t="n">
        <v>11900000</v>
      </c>
      <c r="I19" t="n">
        <v>1000000</v>
      </c>
      <c r="J19" t="n">
        <v>0</v>
      </c>
      <c r="K19" t="n">
        <v>52</v>
      </c>
      <c r="L19" t="n">
        <v>1600000</v>
      </c>
      <c r="M19" t="n">
        <v>0</v>
      </c>
      <c r="N19" t="n">
        <v>8900000</v>
      </c>
      <c r="O19" t="n">
        <v>3000000</v>
      </c>
      <c r="P19" t="inlineStr"/>
      <c r="Q19" t="inlineStr"/>
      <c r="R19" t="inlineStr">
        <is>
          <t>EUR</t>
        </is>
      </c>
      <c r="S19" t="n">
        <v>0</v>
      </c>
      <c r="T19" t="n">
        <v>13.81551055796427</v>
      </c>
      <c r="U19" t="n">
        <v>0</v>
      </c>
      <c r="V19" t="n">
        <v>3.951243718581428</v>
      </c>
      <c r="W19" t="n">
        <v>14.28551418721001</v>
      </c>
      <c r="X19" t="n">
        <v>14.91412284663238</v>
      </c>
    </row>
    <row r="20">
      <c r="A20" t="inlineStr">
        <is>
          <t>ENEL</t>
        </is>
      </c>
      <c r="B20" t="n">
        <v>2020</v>
      </c>
      <c r="C20" t="inlineStr">
        <is>
          <t>Utilities</t>
        </is>
      </c>
      <c r="D20" t="inlineStr">
        <is>
          <t>ITA</t>
        </is>
      </c>
      <c r="E20" t="inlineStr">
        <is>
          <t>Italy</t>
        </is>
      </c>
      <c r="F20" t="inlineStr">
        <is>
          <t>PRT</t>
        </is>
      </c>
      <c r="G20" t="inlineStr">
        <is>
          <t>Portugal</t>
        </is>
      </c>
      <c r="H20" t="n">
        <v>1081200000</v>
      </c>
      <c r="I20" t="n">
        <v>63600000</v>
      </c>
      <c r="J20" t="n">
        <v>10600000</v>
      </c>
      <c r="K20" t="n">
        <v>61</v>
      </c>
      <c r="L20" t="n">
        <v>16500000</v>
      </c>
      <c r="M20" t="n">
        <v>9100000</v>
      </c>
      <c r="N20" t="n">
        <v>973100000</v>
      </c>
      <c r="O20" t="n">
        <v>108100000</v>
      </c>
      <c r="P20" t="inlineStr"/>
      <c r="Q20" t="inlineStr"/>
      <c r="R20" t="inlineStr">
        <is>
          <t>EUR</t>
        </is>
      </c>
      <c r="S20" t="n">
        <v>0.1430817610062893</v>
      </c>
      <c r="T20" t="n">
        <v>17.96812402831035</v>
      </c>
      <c r="U20" t="n">
        <v>0.02047239033266089</v>
      </c>
      <c r="V20" t="n">
        <v>4.110873864173311</v>
      </c>
      <c r="W20" t="n">
        <v>16.61887093887081</v>
      </c>
      <c r="X20" t="n">
        <v>18.49856728260944</v>
      </c>
    </row>
    <row r="21">
      <c r="A21" t="inlineStr">
        <is>
          <t>ENEL</t>
        </is>
      </c>
      <c r="B21" t="n">
        <v>2020</v>
      </c>
      <c r="C21" t="inlineStr">
        <is>
          <t>Utilities</t>
        </is>
      </c>
      <c r="D21" t="inlineStr">
        <is>
          <t>ITA</t>
        </is>
      </c>
      <c r="E21" t="inlineStr">
        <is>
          <t>Italy</t>
        </is>
      </c>
      <c r="F21" t="inlineStr">
        <is>
          <t>TUR</t>
        </is>
      </c>
      <c r="G21" t="inlineStr">
        <is>
          <t>Turkey</t>
        </is>
      </c>
      <c r="H21" t="n">
        <v>2000000</v>
      </c>
      <c r="I21" t="n">
        <v>2400000</v>
      </c>
      <c r="J21" t="n">
        <v>0</v>
      </c>
      <c r="K21" t="n">
        <v>2</v>
      </c>
      <c r="L21" t="n">
        <v>100000</v>
      </c>
      <c r="M21" t="n">
        <v>0</v>
      </c>
      <c r="N21" t="n">
        <v>100000</v>
      </c>
      <c r="O21" t="n">
        <v>1900000</v>
      </c>
      <c r="P21" t="inlineStr"/>
      <c r="Q21" t="inlineStr"/>
      <c r="R21" t="inlineStr">
        <is>
          <t>EUR</t>
        </is>
      </c>
      <c r="S21" t="n">
        <v>0</v>
      </c>
      <c r="T21" t="n">
        <v>14.69097929531817</v>
      </c>
      <c r="U21" t="n">
        <v>0</v>
      </c>
      <c r="V21" t="n">
        <v>0.6931471805599453</v>
      </c>
      <c r="W21" t="n">
        <v>11.51292546497023</v>
      </c>
      <c r="X21" t="n">
        <v>14.45736444413667</v>
      </c>
    </row>
    <row r="22">
      <c r="A22" t="inlineStr">
        <is>
          <t>ENEL</t>
        </is>
      </c>
      <c r="B22" t="n">
        <v>2020</v>
      </c>
      <c r="C22" t="inlineStr">
        <is>
          <t>Utilities</t>
        </is>
      </c>
      <c r="D22" t="inlineStr">
        <is>
          <t>ITA</t>
        </is>
      </c>
      <c r="E22" t="inlineStr">
        <is>
          <t>Italy</t>
        </is>
      </c>
      <c r="F22" t="inlineStr">
        <is>
          <t>GBR</t>
        </is>
      </c>
      <c r="G22" t="inlineStr">
        <is>
          <t>United Kingdom</t>
        </is>
      </c>
      <c r="H22" t="n">
        <v>12100000</v>
      </c>
      <c r="I22" t="n">
        <v>1200000</v>
      </c>
      <c r="J22" t="n">
        <v>100000</v>
      </c>
      <c r="K22" t="n">
        <v>25</v>
      </c>
      <c r="L22" t="n">
        <v>9100000</v>
      </c>
      <c r="M22" t="n">
        <v>300000</v>
      </c>
      <c r="N22" t="n">
        <v>11100000</v>
      </c>
      <c r="O22" t="n">
        <v>1000000</v>
      </c>
      <c r="P22" t="inlineStr"/>
      <c r="Q22" t="inlineStr"/>
      <c r="R22" t="inlineStr">
        <is>
          <t>EUR</t>
        </is>
      </c>
      <c r="S22" t="n">
        <v>0.25</v>
      </c>
      <c r="T22" t="n">
        <v>13.99783211475823</v>
      </c>
      <c r="U22" t="n">
        <v>0.0625</v>
      </c>
      <c r="V22" t="n">
        <v>3.218875824868201</v>
      </c>
      <c r="W22" t="n">
        <v>16.02378497148708</v>
      </c>
      <c r="X22" t="n">
        <v>13.81551055796427</v>
      </c>
    </row>
    <row r="23">
      <c r="A23" t="inlineStr">
        <is>
          <t>ENEL</t>
        </is>
      </c>
      <c r="B23" t="n">
        <v>2020</v>
      </c>
      <c r="C23" t="inlineStr">
        <is>
          <t>Utilities</t>
        </is>
      </c>
      <c r="D23" t="inlineStr">
        <is>
          <t>ITA</t>
        </is>
      </c>
      <c r="E23" t="inlineStr">
        <is>
          <t>Italy</t>
        </is>
      </c>
      <c r="F23" t="inlineStr">
        <is>
          <t>JPN</t>
        </is>
      </c>
      <c r="G23" t="inlineStr">
        <is>
          <t>Japan</t>
        </is>
      </c>
      <c r="H23" t="n">
        <v>8200000</v>
      </c>
      <c r="I23" t="n">
        <v>1000000</v>
      </c>
      <c r="J23" t="n">
        <v>0</v>
      </c>
      <c r="K23" t="n">
        <v>19</v>
      </c>
      <c r="L23" t="n">
        <v>300000</v>
      </c>
      <c r="M23" t="n">
        <v>0</v>
      </c>
      <c r="N23" t="n">
        <v>8000000</v>
      </c>
      <c r="O23" t="n">
        <v>200000</v>
      </c>
      <c r="P23" t="inlineStr"/>
      <c r="Q23" t="inlineStr"/>
      <c r="R23" t="inlineStr">
        <is>
          <t>EUR</t>
        </is>
      </c>
      <c r="S23" t="n">
        <v>0</v>
      </c>
      <c r="T23" t="n">
        <v>13.81551055796427</v>
      </c>
      <c r="U23" t="n">
        <v>0</v>
      </c>
      <c r="V23" t="n">
        <v>2.94443897916644</v>
      </c>
      <c r="W23" t="n">
        <v>12.61153775363834</v>
      </c>
      <c r="X23" t="n">
        <v>12.20607264553017</v>
      </c>
    </row>
    <row r="24">
      <c r="A24" t="inlineStr">
        <is>
          <t>ENEL</t>
        </is>
      </c>
      <c r="B24" t="n">
        <v>2021</v>
      </c>
      <c r="C24" t="inlineStr">
        <is>
          <t>Utilities</t>
        </is>
      </c>
      <c r="D24" t="inlineStr">
        <is>
          <t>ITA</t>
        </is>
      </c>
      <c r="E24" t="inlineStr">
        <is>
          <t>Italy</t>
        </is>
      </c>
      <c r="F24" t="inlineStr">
        <is>
          <t>GRC</t>
        </is>
      </c>
      <c r="G24" t="inlineStr">
        <is>
          <t>Greece</t>
        </is>
      </c>
      <c r="H24" t="n">
        <v>126400000</v>
      </c>
      <c r="I24" t="n">
        <v>30600000</v>
      </c>
      <c r="J24" t="n">
        <v>10200000</v>
      </c>
      <c r="K24" t="n">
        <v>112</v>
      </c>
      <c r="L24" t="n">
        <v>603900000</v>
      </c>
      <c r="M24" t="n">
        <v>9100000</v>
      </c>
      <c r="N24" t="n">
        <v>122900000</v>
      </c>
      <c r="O24" t="n">
        <v>3500000</v>
      </c>
      <c r="P24" t="n">
        <v>788500000</v>
      </c>
      <c r="Q24" t="n">
        <v>-178000000</v>
      </c>
      <c r="R24" t="inlineStr">
        <is>
          <t>EUR</t>
        </is>
      </c>
      <c r="S24" t="n">
        <v>0.2973856209150327</v>
      </c>
      <c r="T24" t="n">
        <v>17.23651056692261</v>
      </c>
      <c r="U24" t="n">
        <v>0.08843820752701952</v>
      </c>
      <c r="V24" t="n">
        <v>4.718498871295094</v>
      </c>
      <c r="W24" t="n">
        <v>20.21891917927813</v>
      </c>
      <c r="X24" t="n">
        <v>15.06827352645964</v>
      </c>
    </row>
    <row r="25">
      <c r="A25" t="inlineStr">
        <is>
          <t>ENEL</t>
        </is>
      </c>
      <c r="B25" t="n">
        <v>2021</v>
      </c>
      <c r="C25" t="inlineStr">
        <is>
          <t>Utilities</t>
        </is>
      </c>
      <c r="D25" t="inlineStr">
        <is>
          <t>ITA</t>
        </is>
      </c>
      <c r="E25" t="inlineStr">
        <is>
          <t>Italy</t>
        </is>
      </c>
      <c r="F25" t="inlineStr">
        <is>
          <t>ITA</t>
        </is>
      </c>
      <c r="G25" t="inlineStr">
        <is>
          <t>Italy</t>
        </is>
      </c>
      <c r="H25" t="n">
        <v>53007400000</v>
      </c>
      <c r="I25" t="n">
        <v>2534500000</v>
      </c>
      <c r="J25" t="n">
        <v>763400000</v>
      </c>
      <c r="K25" t="n">
        <v>30256</v>
      </c>
      <c r="L25" t="n">
        <v>28781500000</v>
      </c>
      <c r="M25" t="n">
        <v>1107200000</v>
      </c>
      <c r="N25" t="n">
        <v>43767400000</v>
      </c>
      <c r="O25" t="n">
        <v>9240000000</v>
      </c>
      <c r="P25" t="n">
        <v>43051200000</v>
      </c>
      <c r="Q25" t="n">
        <v>22782700000</v>
      </c>
      <c r="R25" t="inlineStr">
        <is>
          <t>EUR</t>
        </is>
      </c>
      <c r="S25" t="n">
        <v>0.4368514499901361</v>
      </c>
      <c r="T25" t="n">
        <v>21.65326221587668</v>
      </c>
      <c r="U25" t="n">
        <v>0.1908391893584844</v>
      </c>
      <c r="V25" t="n">
        <v>10.31744979089824</v>
      </c>
      <c r="W25" t="n">
        <v>24.08299865657491</v>
      </c>
      <c r="X25" t="n">
        <v>22.9468077226</v>
      </c>
    </row>
    <row r="26">
      <c r="A26" t="inlineStr">
        <is>
          <t>ENEL</t>
        </is>
      </c>
      <c r="B26" t="n">
        <v>2021</v>
      </c>
      <c r="C26" t="inlineStr">
        <is>
          <t>Utilities</t>
        </is>
      </c>
      <c r="D26" t="inlineStr">
        <is>
          <t>ITA</t>
        </is>
      </c>
      <c r="E26" t="inlineStr">
        <is>
          <t>Italy</t>
        </is>
      </c>
      <c r="F26" t="inlineStr">
        <is>
          <t>PRT</t>
        </is>
      </c>
      <c r="G26" t="inlineStr">
        <is>
          <t>Portugal</t>
        </is>
      </c>
      <c r="H26" t="n">
        <v>1300300000</v>
      </c>
      <c r="I26" t="n">
        <v>36000000</v>
      </c>
      <c r="J26" t="n">
        <v>10100000</v>
      </c>
      <c r="K26" t="n">
        <v>74</v>
      </c>
      <c r="L26" t="n">
        <v>33600000</v>
      </c>
      <c r="M26" t="n">
        <v>4700000</v>
      </c>
      <c r="N26" t="n">
        <v>1088500000</v>
      </c>
      <c r="O26" t="n">
        <v>211800000</v>
      </c>
      <c r="P26" t="n">
        <v>400000</v>
      </c>
      <c r="Q26" t="n">
        <v>4900000</v>
      </c>
      <c r="R26" t="inlineStr">
        <is>
          <t>EUR</t>
        </is>
      </c>
      <c r="S26" t="n">
        <v>0.1305555555555556</v>
      </c>
      <c r="T26" t="n">
        <v>17.39902949642038</v>
      </c>
      <c r="U26" t="n">
        <v>0.01704475308641976</v>
      </c>
      <c r="V26" t="n">
        <v>4.30406509320417</v>
      </c>
      <c r="W26" t="n">
        <v>17.33003662493343</v>
      </c>
      <c r="X26" t="n">
        <v>19.17115299113158</v>
      </c>
    </row>
    <row r="27">
      <c r="A27" t="inlineStr">
        <is>
          <t>ENEL</t>
        </is>
      </c>
      <c r="B27" t="n">
        <v>2021</v>
      </c>
      <c r="C27" t="inlineStr">
        <is>
          <t>Utilities</t>
        </is>
      </c>
      <c r="D27" t="inlineStr">
        <is>
          <t>ITA</t>
        </is>
      </c>
      <c r="E27" t="inlineStr">
        <is>
          <t>Italy</t>
        </is>
      </c>
      <c r="F27" t="inlineStr">
        <is>
          <t>ROU</t>
        </is>
      </c>
      <c r="G27" t="inlineStr">
        <is>
          <t>Romania</t>
        </is>
      </c>
      <c r="H27" t="n">
        <v>1711600000</v>
      </c>
      <c r="I27" t="n">
        <v>13600000</v>
      </c>
      <c r="J27" t="n">
        <v>19000000</v>
      </c>
      <c r="K27" t="n">
        <v>3291</v>
      </c>
      <c r="L27" t="n">
        <v>1985100000</v>
      </c>
      <c r="M27" t="n">
        <v>7500000</v>
      </c>
      <c r="N27" t="n">
        <v>1619200000</v>
      </c>
      <c r="O27" t="n">
        <v>92400000</v>
      </c>
      <c r="P27" t="n">
        <v>1137100000</v>
      </c>
      <c r="Q27" t="n">
        <v>1209300000</v>
      </c>
      <c r="R27" t="inlineStr">
        <is>
          <t>EUR</t>
        </is>
      </c>
      <c r="S27" t="n">
        <v>0.5514705882352942</v>
      </c>
      <c r="T27" t="n">
        <v>16.42558035070628</v>
      </c>
      <c r="U27" t="n">
        <v>0.3041198096885814</v>
      </c>
      <c r="V27" t="n">
        <v>8.098946748943339</v>
      </c>
      <c r="W27" t="n">
        <v>21.4089351276504</v>
      </c>
      <c r="X27" t="n">
        <v>18.34163753661191</v>
      </c>
    </row>
    <row r="28">
      <c r="A28" t="inlineStr">
        <is>
          <t>ENEL</t>
        </is>
      </c>
      <c r="B28" t="n">
        <v>2021</v>
      </c>
      <c r="C28" t="inlineStr">
        <is>
          <t>Utilities</t>
        </is>
      </c>
      <c r="D28" t="inlineStr">
        <is>
          <t>ITA</t>
        </is>
      </c>
      <c r="E28" t="inlineStr">
        <is>
          <t>Italy</t>
        </is>
      </c>
      <c r="F28" t="inlineStr">
        <is>
          <t>RUS</t>
        </is>
      </c>
      <c r="G28" t="inlineStr">
        <is>
          <t>Russia</t>
        </is>
      </c>
      <c r="H28" t="n">
        <v>576500000</v>
      </c>
      <c r="I28" t="n">
        <v>39100000</v>
      </c>
      <c r="J28" t="n">
        <v>5400000</v>
      </c>
      <c r="K28" t="n">
        <v>1465</v>
      </c>
      <c r="L28" t="n">
        <v>851000000</v>
      </c>
      <c r="M28" t="n">
        <v>0</v>
      </c>
      <c r="N28" t="n">
        <v>570200000</v>
      </c>
      <c r="O28" t="n">
        <v>6300000</v>
      </c>
      <c r="P28" t="n">
        <v>996900000</v>
      </c>
      <c r="Q28" t="n">
        <v>331300000</v>
      </c>
      <c r="R28" t="inlineStr">
        <is>
          <t>EUR</t>
        </is>
      </c>
      <c r="S28" t="n">
        <v>0</v>
      </c>
      <c r="T28" t="n">
        <v>17.4816330249556</v>
      </c>
      <c r="U28" t="n">
        <v>0</v>
      </c>
      <c r="V28" t="n">
        <v>7.289610521451167</v>
      </c>
      <c r="W28" t="n">
        <v>20.56192268653765</v>
      </c>
      <c r="X28" t="n">
        <v>15.65606019136176</v>
      </c>
    </row>
    <row r="29">
      <c r="A29" t="inlineStr">
        <is>
          <t>ENEL</t>
        </is>
      </c>
      <c r="B29" t="n">
        <v>2021</v>
      </c>
      <c r="C29" t="inlineStr">
        <is>
          <t>Utilities</t>
        </is>
      </c>
      <c r="D29" t="inlineStr">
        <is>
          <t>ITA</t>
        </is>
      </c>
      <c r="E29" t="inlineStr">
        <is>
          <t>Italy</t>
        </is>
      </c>
      <c r="F29" t="inlineStr">
        <is>
          <t>ESP</t>
        </is>
      </c>
      <c r="G29" t="inlineStr">
        <is>
          <t>Spain</t>
        </is>
      </c>
      <c r="H29" t="n">
        <v>30341500000</v>
      </c>
      <c r="I29" t="n">
        <v>2368500000</v>
      </c>
      <c r="J29" t="n">
        <v>159900000</v>
      </c>
      <c r="K29" t="n">
        <v>9376</v>
      </c>
      <c r="L29" t="n">
        <v>24142500000</v>
      </c>
      <c r="M29" t="n">
        <v>227000000</v>
      </c>
      <c r="N29" t="n">
        <v>25415000000</v>
      </c>
      <c r="O29" t="n">
        <v>4926500000</v>
      </c>
      <c r="P29" t="n">
        <v>20934500000</v>
      </c>
      <c r="Q29" t="n">
        <v>31937900000</v>
      </c>
      <c r="R29" t="inlineStr">
        <is>
          <t>EUR</t>
        </is>
      </c>
      <c r="S29" t="n">
        <v>0.0958412497361199</v>
      </c>
      <c r="T29" t="n">
        <v>21.58552268032808</v>
      </c>
      <c r="U29" t="n">
        <v>0.009185545150981304</v>
      </c>
      <c r="V29" t="n">
        <v>9.145908511816794</v>
      </c>
      <c r="W29" t="n">
        <v>23.90723960980535</v>
      </c>
      <c r="X29" t="n">
        <v>22.3178946337268</v>
      </c>
    </row>
    <row r="30">
      <c r="A30" t="inlineStr">
        <is>
          <t>ENEL</t>
        </is>
      </c>
      <c r="B30" t="n">
        <v>2021</v>
      </c>
      <c r="C30" t="inlineStr">
        <is>
          <t>Utilities</t>
        </is>
      </c>
      <c r="D30" t="inlineStr">
        <is>
          <t>ITA</t>
        </is>
      </c>
      <c r="E30" t="inlineStr">
        <is>
          <t>Italy</t>
        </is>
      </c>
      <c r="F30" t="inlineStr">
        <is>
          <t>BRA</t>
        </is>
      </c>
      <c r="G30" t="inlineStr">
        <is>
          <t>Brazil</t>
        </is>
      </c>
      <c r="H30" t="n">
        <v>9929400000</v>
      </c>
      <c r="I30" t="n">
        <v>498800000</v>
      </c>
      <c r="J30" t="n">
        <v>199200000</v>
      </c>
      <c r="K30" t="n">
        <v>8966</v>
      </c>
      <c r="L30" t="n">
        <v>3328800000</v>
      </c>
      <c r="M30" t="n">
        <v>159800000</v>
      </c>
      <c r="N30" t="n">
        <v>9905700000</v>
      </c>
      <c r="O30" t="n">
        <v>23700000</v>
      </c>
      <c r="P30" t="n">
        <v>10842700000</v>
      </c>
      <c r="Q30" t="n">
        <v>2129700000</v>
      </c>
      <c r="R30" t="inlineStr">
        <is>
          <t>EUR</t>
        </is>
      </c>
      <c r="S30" t="n">
        <v>0.3203688853247795</v>
      </c>
      <c r="T30" t="n">
        <v>20.02771577177015</v>
      </c>
      <c r="U30" t="n">
        <v>0.1026362226842417</v>
      </c>
      <c r="V30" t="n">
        <v>9.101194924715385</v>
      </c>
      <c r="W30" t="n">
        <v>21.92587771563301</v>
      </c>
      <c r="X30" t="n">
        <v>16.98098560610536</v>
      </c>
    </row>
    <row r="31">
      <c r="A31" t="inlineStr">
        <is>
          <t>ENEL</t>
        </is>
      </c>
      <c r="B31" t="n">
        <v>2021</v>
      </c>
      <c r="C31" t="inlineStr">
        <is>
          <t>Utilities</t>
        </is>
      </c>
      <c r="D31" t="inlineStr">
        <is>
          <t>ITA</t>
        </is>
      </c>
      <c r="E31" t="inlineStr">
        <is>
          <t>Italy</t>
        </is>
      </c>
      <c r="F31" t="inlineStr">
        <is>
          <t>COL</t>
        </is>
      </c>
      <c r="G31" t="inlineStr">
        <is>
          <t>Colombia</t>
        </is>
      </c>
      <c r="H31" t="n">
        <v>2248400000</v>
      </c>
      <c r="I31" t="n">
        <v>875400000</v>
      </c>
      <c r="J31" t="n">
        <v>249200000</v>
      </c>
      <c r="K31" t="n">
        <v>2256</v>
      </c>
      <c r="L31" t="n">
        <v>3675100000</v>
      </c>
      <c r="M31" t="n">
        <v>261400000</v>
      </c>
      <c r="N31" t="n">
        <v>2247200000</v>
      </c>
      <c r="O31" t="n">
        <v>1200000</v>
      </c>
      <c r="P31" t="n">
        <v>512400000</v>
      </c>
      <c r="Q31" t="n">
        <v>1938400000</v>
      </c>
      <c r="R31" t="inlineStr">
        <is>
          <t>EUR</t>
        </is>
      </c>
      <c r="S31" t="n">
        <v>0.2986063513822252</v>
      </c>
      <c r="T31" t="n">
        <v>20.59019148272107</v>
      </c>
      <c r="U31" t="n">
        <v>0.08916575308580497</v>
      </c>
      <c r="V31" t="n">
        <v>7.721348612617949</v>
      </c>
      <c r="W31" t="n">
        <v>22.02484618012535</v>
      </c>
      <c r="X31" t="n">
        <v>13.99783211475823</v>
      </c>
    </row>
    <row r="32">
      <c r="A32" t="inlineStr">
        <is>
          <t>ENEL</t>
        </is>
      </c>
      <c r="B32" t="n">
        <v>2021</v>
      </c>
      <c r="C32" t="inlineStr">
        <is>
          <t>Utilities</t>
        </is>
      </c>
      <c r="D32" t="inlineStr">
        <is>
          <t>ITA</t>
        </is>
      </c>
      <c r="E32" t="inlineStr">
        <is>
          <t>Italy</t>
        </is>
      </c>
      <c r="F32" t="inlineStr">
        <is>
          <t>GTM</t>
        </is>
      </c>
      <c r="G32" t="inlineStr">
        <is>
          <t>Guatemala</t>
        </is>
      </c>
      <c r="H32" t="n">
        <v>79000000</v>
      </c>
      <c r="I32" t="n">
        <v>25000000</v>
      </c>
      <c r="J32" t="n">
        <v>2300000</v>
      </c>
      <c r="K32" t="n">
        <v>94</v>
      </c>
      <c r="L32" t="n">
        <v>340000000</v>
      </c>
      <c r="M32" t="n">
        <v>2300000</v>
      </c>
      <c r="N32" t="n">
        <v>78800000</v>
      </c>
      <c r="O32" t="n">
        <v>200000</v>
      </c>
      <c r="P32" t="n">
        <v>248900000</v>
      </c>
      <c r="Q32" t="n">
        <v>189600000</v>
      </c>
      <c r="R32" t="inlineStr">
        <is>
          <t>EUR</t>
        </is>
      </c>
      <c r="S32" t="n">
        <v>0.092</v>
      </c>
      <c r="T32" t="n">
        <v>17.03438638283248</v>
      </c>
      <c r="U32" t="n">
        <v>0.008463999999999999</v>
      </c>
      <c r="V32" t="n">
        <v>4.543294782270004</v>
      </c>
      <c r="W32" t="n">
        <v>19.64445617557448</v>
      </c>
      <c r="X32" t="n">
        <v>12.20607264553017</v>
      </c>
    </row>
    <row r="33">
      <c r="A33" t="inlineStr">
        <is>
          <t>ENEL</t>
        </is>
      </c>
      <c r="B33" t="n">
        <v>2021</v>
      </c>
      <c r="C33" t="inlineStr">
        <is>
          <t>Utilities</t>
        </is>
      </c>
      <c r="D33" t="inlineStr">
        <is>
          <t>ITA</t>
        </is>
      </c>
      <c r="E33" t="inlineStr">
        <is>
          <t>Italy</t>
        </is>
      </c>
      <c r="F33" t="inlineStr">
        <is>
          <t>PAN</t>
        </is>
      </c>
      <c r="G33" t="inlineStr">
        <is>
          <t>Panama</t>
        </is>
      </c>
      <c r="H33" t="n">
        <v>154700000</v>
      </c>
      <c r="I33" t="n">
        <v>108900000</v>
      </c>
      <c r="J33" t="n">
        <v>26900000</v>
      </c>
      <c r="K33" t="n">
        <v>94</v>
      </c>
      <c r="L33" t="n">
        <v>389300000</v>
      </c>
      <c r="M33" t="n">
        <v>37900000</v>
      </c>
      <c r="N33" t="n">
        <v>154400000</v>
      </c>
      <c r="O33" t="n">
        <v>300000</v>
      </c>
      <c r="P33" t="n">
        <v>372200000</v>
      </c>
      <c r="Q33" t="n">
        <v>173600000</v>
      </c>
      <c r="R33" t="inlineStr">
        <is>
          <t>EUR</t>
        </is>
      </c>
      <c r="S33" t="n">
        <v>0.3480257116620753</v>
      </c>
      <c r="T33" t="n">
        <v>18.50594058790319</v>
      </c>
      <c r="U33" t="n">
        <v>0.121121895977894</v>
      </c>
      <c r="V33" t="n">
        <v>4.543294782270004</v>
      </c>
      <c r="W33" t="n">
        <v>19.77986081258068</v>
      </c>
      <c r="X33" t="n">
        <v>12.61153775363834</v>
      </c>
    </row>
    <row r="34">
      <c r="A34" t="inlineStr">
        <is>
          <t>ENEL</t>
        </is>
      </c>
      <c r="B34" t="n">
        <v>2021</v>
      </c>
      <c r="C34" t="inlineStr">
        <is>
          <t>Utilities</t>
        </is>
      </c>
      <c r="D34" t="inlineStr">
        <is>
          <t>ITA</t>
        </is>
      </c>
      <c r="E34" t="inlineStr">
        <is>
          <t>Italy</t>
        </is>
      </c>
      <c r="F34" t="inlineStr">
        <is>
          <t>NZL</t>
        </is>
      </c>
      <c r="G34" t="inlineStr">
        <is>
          <t>New Zealand</t>
        </is>
      </c>
      <c r="H34" t="n">
        <v>6500000</v>
      </c>
      <c r="I34" t="n">
        <v>400000</v>
      </c>
      <c r="J34" t="n">
        <v>300000</v>
      </c>
      <c r="K34" t="n">
        <v>5</v>
      </c>
      <c r="L34" t="n">
        <v>100000</v>
      </c>
      <c r="M34" t="n">
        <v>100000</v>
      </c>
      <c r="N34" t="n">
        <v>6000000</v>
      </c>
      <c r="O34" t="n">
        <v>500000</v>
      </c>
      <c r="P34" t="n">
        <v>2000000</v>
      </c>
      <c r="Q34" t="n">
        <v>-600000</v>
      </c>
      <c r="R34" t="inlineStr">
        <is>
          <t>EUR</t>
        </is>
      </c>
      <c r="S34" t="n">
        <v>0.25</v>
      </c>
      <c r="T34" t="n">
        <v>12.89921982609012</v>
      </c>
      <c r="U34" t="n">
        <v>0.0625</v>
      </c>
      <c r="V34" t="n">
        <v>1.6094379124341</v>
      </c>
      <c r="W34" t="n">
        <v>11.51292546497023</v>
      </c>
      <c r="X34" t="n">
        <v>13.12236337740433</v>
      </c>
    </row>
    <row r="35">
      <c r="A35" t="inlineStr">
        <is>
          <t>ERG</t>
        </is>
      </c>
      <c r="B35" t="n">
        <v>2020</v>
      </c>
      <c r="C35" t="inlineStr">
        <is>
          <t>Utilities</t>
        </is>
      </c>
      <c r="D35" t="inlineStr">
        <is>
          <t>ITA</t>
        </is>
      </c>
      <c r="E35" t="inlineStr">
        <is>
          <t>Italy</t>
        </is>
      </c>
      <c r="F35" t="inlineStr">
        <is>
          <t>ITA</t>
        </is>
      </c>
      <c r="G35" t="inlineStr">
        <is>
          <t>Italy</t>
        </is>
      </c>
      <c r="H35" t="n">
        <v>800000000</v>
      </c>
      <c r="I35" t="n">
        <v>108000000</v>
      </c>
      <c r="J35" t="n">
        <v>20500000</v>
      </c>
      <c r="K35" t="n">
        <v>685</v>
      </c>
      <c r="L35" t="n">
        <v>1464000000</v>
      </c>
      <c r="M35" t="n">
        <v>35300000</v>
      </c>
      <c r="N35" t="n">
        <v>799000000</v>
      </c>
      <c r="O35" t="n">
        <v>1000000</v>
      </c>
      <c r="P35" t="inlineStr"/>
      <c r="Q35" t="inlineStr"/>
      <c r="R35" t="inlineStr">
        <is>
          <t>EUR</t>
        </is>
      </c>
      <c r="S35" t="n">
        <v>0.3268518518518518</v>
      </c>
      <c r="T35" t="n">
        <v>18.49764178508849</v>
      </c>
      <c r="U35" t="n">
        <v>0.1068321330589849</v>
      </c>
      <c r="V35" t="n">
        <v>6.529418838262226</v>
      </c>
      <c r="W35" t="n">
        <v>21.10443825248553</v>
      </c>
      <c r="X35" t="n">
        <v>13.81551055796427</v>
      </c>
    </row>
    <row r="36">
      <c r="A36" t="inlineStr">
        <is>
          <t>FALCK RENEWABLES</t>
        </is>
      </c>
      <c r="B36" t="n">
        <v>2020</v>
      </c>
      <c r="C36" t="inlineStr">
        <is>
          <t>Utilities</t>
        </is>
      </c>
      <c r="D36" t="inlineStr">
        <is>
          <t>ITA</t>
        </is>
      </c>
      <c r="E36" t="inlineStr">
        <is>
          <t>Italy</t>
        </is>
      </c>
      <c r="F36" t="inlineStr">
        <is>
          <t>FRA</t>
        </is>
      </c>
      <c r="G36" t="inlineStr">
        <is>
          <t>France</t>
        </is>
      </c>
      <c r="H36" t="n">
        <v>21073128</v>
      </c>
      <c r="I36" t="n">
        <v>7634937</v>
      </c>
      <c r="J36" t="n">
        <v>1055966</v>
      </c>
      <c r="K36" t="n">
        <v>8</v>
      </c>
      <c r="L36" t="n">
        <v>210343218</v>
      </c>
      <c r="M36" t="n">
        <v>1660626</v>
      </c>
      <c r="N36" t="n">
        <v>20196102</v>
      </c>
      <c r="O36" t="n">
        <v>877026</v>
      </c>
      <c r="P36" t="n">
        <v>32692738</v>
      </c>
      <c r="Q36" t="n">
        <v>-23703995</v>
      </c>
      <c r="R36" t="inlineStr">
        <is>
          <t>EUR</t>
        </is>
      </c>
      <c r="S36" t="n">
        <v>0.2175035628977685</v>
      </c>
      <c r="T36" t="n">
        <v>15.84824524512735</v>
      </c>
      <c r="U36" t="n">
        <v>0.04730779987322354</v>
      </c>
      <c r="V36" t="n">
        <v>2.079441541679836</v>
      </c>
      <c r="W36" t="n">
        <v>19.16425112597878</v>
      </c>
      <c r="X36" t="n">
        <v>13.68429191743711</v>
      </c>
    </row>
    <row r="37">
      <c r="A37" t="inlineStr">
        <is>
          <t>FALCK RENEWABLES</t>
        </is>
      </c>
      <c r="B37" t="n">
        <v>2020</v>
      </c>
      <c r="C37" t="inlineStr">
        <is>
          <t>Utilities</t>
        </is>
      </c>
      <c r="D37" t="inlineStr">
        <is>
          <t>ITA</t>
        </is>
      </c>
      <c r="E37" t="inlineStr">
        <is>
          <t>Italy</t>
        </is>
      </c>
      <c r="F37" t="inlineStr">
        <is>
          <t>ITA</t>
        </is>
      </c>
      <c r="G37" t="inlineStr">
        <is>
          <t>Italy</t>
        </is>
      </c>
      <c r="H37" t="n">
        <v>288187093</v>
      </c>
      <c r="I37" t="n">
        <v>76825453</v>
      </c>
      <c r="J37" t="n">
        <v>4864607</v>
      </c>
      <c r="K37" t="n">
        <v>363</v>
      </c>
      <c r="L37" t="n">
        <v>382620235</v>
      </c>
      <c r="M37" t="n">
        <v>2475117</v>
      </c>
      <c r="N37" t="n">
        <v>236018321</v>
      </c>
      <c r="O37" t="n">
        <v>52168772</v>
      </c>
      <c r="P37" t="n">
        <v>324113420</v>
      </c>
      <c r="Q37" t="n">
        <v>156663184</v>
      </c>
      <c r="R37" t="inlineStr">
        <is>
          <t>EUR</t>
        </is>
      </c>
      <c r="S37" t="n">
        <v>0.03221740846747757</v>
      </c>
      <c r="T37" t="n">
        <v>18.1570465624815</v>
      </c>
      <c r="U37" t="n">
        <v>0.001037961408360295</v>
      </c>
      <c r="V37" t="n">
        <v>5.89440283426485</v>
      </c>
      <c r="W37" t="n">
        <v>19.76255350170572</v>
      </c>
      <c r="X37" t="n">
        <v>17.76999463628949</v>
      </c>
    </row>
    <row r="38">
      <c r="A38" t="inlineStr">
        <is>
          <t>FALCK RENEWABLES</t>
        </is>
      </c>
      <c r="B38" t="n">
        <v>2020</v>
      </c>
      <c r="C38" t="inlineStr">
        <is>
          <t>Utilities</t>
        </is>
      </c>
      <c r="D38" t="inlineStr">
        <is>
          <t>ITA</t>
        </is>
      </c>
      <c r="E38" t="inlineStr">
        <is>
          <t>Italy</t>
        </is>
      </c>
      <c r="F38" t="inlineStr">
        <is>
          <t>JPN</t>
        </is>
      </c>
      <c r="G38" t="inlineStr">
        <is>
          <t>Japan</t>
        </is>
      </c>
      <c r="H38" t="n">
        <v>4379033</v>
      </c>
      <c r="I38" t="n">
        <v>681297</v>
      </c>
      <c r="J38" t="n">
        <v>331544</v>
      </c>
      <c r="K38" t="n">
        <v>31</v>
      </c>
      <c r="L38" t="n">
        <v>70383</v>
      </c>
      <c r="M38" t="n">
        <v>393019</v>
      </c>
      <c r="N38" t="n">
        <v>4323237</v>
      </c>
      <c r="O38" t="n">
        <v>55796</v>
      </c>
      <c r="P38" t="n">
        <v>7906</v>
      </c>
      <c r="Q38" t="n">
        <v>1003968</v>
      </c>
      <c r="R38" t="inlineStr">
        <is>
          <t>EUR</t>
        </is>
      </c>
      <c r="S38" t="n">
        <v>0.576868825196647</v>
      </c>
      <c r="T38" t="n">
        <v>13.43175361340552</v>
      </c>
      <c r="U38" t="n">
        <v>0.3327776414837596</v>
      </c>
      <c r="V38" t="n">
        <v>3.433987204485146</v>
      </c>
      <c r="W38" t="n">
        <v>11.16170703571307</v>
      </c>
      <c r="X38" t="n">
        <v>10.92945746121213</v>
      </c>
    </row>
    <row r="39">
      <c r="A39" t="inlineStr">
        <is>
          <t>FALCK RENEWABLES</t>
        </is>
      </c>
      <c r="B39" t="n">
        <v>2020</v>
      </c>
      <c r="C39" t="inlineStr">
        <is>
          <t>Utilities</t>
        </is>
      </c>
      <c r="D39" t="inlineStr">
        <is>
          <t>ITA</t>
        </is>
      </c>
      <c r="E39" t="inlineStr">
        <is>
          <t>Italy</t>
        </is>
      </c>
      <c r="F39" t="inlineStr">
        <is>
          <t>GBR</t>
        </is>
      </c>
      <c r="G39" t="inlineStr">
        <is>
          <t>United Kingdom</t>
        </is>
      </c>
      <c r="H39" t="n">
        <v>143105347</v>
      </c>
      <c r="I39" t="n">
        <v>87268500</v>
      </c>
      <c r="J39" t="n">
        <v>14307643</v>
      </c>
      <c r="K39" t="n">
        <v>29</v>
      </c>
      <c r="L39" t="n">
        <v>350158761</v>
      </c>
      <c r="M39" t="n">
        <v>9592561</v>
      </c>
      <c r="N39" t="n">
        <v>135103389</v>
      </c>
      <c r="O39" t="n">
        <v>8001958</v>
      </c>
      <c r="P39" t="n">
        <v>75559659</v>
      </c>
      <c r="Q39" t="n">
        <v>245836068</v>
      </c>
      <c r="R39" t="inlineStr">
        <is>
          <t>EUR</t>
        </is>
      </c>
      <c r="S39" t="n">
        <v>0.109920085712485</v>
      </c>
      <c r="T39" t="n">
        <v>18.28450013095465</v>
      </c>
      <c r="U39" t="n">
        <v>0.01208242524304006</v>
      </c>
      <c r="V39" t="n">
        <v>3.367295829986474</v>
      </c>
      <c r="W39" t="n">
        <v>19.6738972124582</v>
      </c>
      <c r="X39" t="n">
        <v>15.89519681969771</v>
      </c>
    </row>
    <row r="40">
      <c r="A40" t="inlineStr">
        <is>
          <t>FALCK RENEWABLES</t>
        </is>
      </c>
      <c r="B40" t="n">
        <v>2020</v>
      </c>
      <c r="C40" t="inlineStr">
        <is>
          <t>Utilities</t>
        </is>
      </c>
      <c r="D40" t="inlineStr">
        <is>
          <t>ITA</t>
        </is>
      </c>
      <c r="E40" t="inlineStr">
        <is>
          <t>Italy</t>
        </is>
      </c>
      <c r="F40" t="inlineStr">
        <is>
          <t>USA</t>
        </is>
      </c>
      <c r="G40" t="inlineStr">
        <is>
          <t>United States of America</t>
        </is>
      </c>
      <c r="H40" t="n">
        <v>36213105</v>
      </c>
      <c r="I40" t="n">
        <v>4386799</v>
      </c>
      <c r="J40" t="n">
        <v>0</v>
      </c>
      <c r="K40" t="n">
        <v>13</v>
      </c>
      <c r="L40" t="n">
        <v>402132582</v>
      </c>
      <c r="M40" t="n">
        <v>730377</v>
      </c>
      <c r="N40" t="n">
        <v>5521927</v>
      </c>
      <c r="O40" t="n">
        <v>30691178</v>
      </c>
      <c r="P40" t="n">
        <v>307770581</v>
      </c>
      <c r="Q40" t="n">
        <v>3043026</v>
      </c>
      <c r="R40" t="inlineStr">
        <is>
          <t>EUR</t>
        </is>
      </c>
      <c r="S40" t="n">
        <v>0.1664942934472265</v>
      </c>
      <c r="T40" t="n">
        <v>15.29411036191157</v>
      </c>
      <c r="U40" t="n">
        <v>0.02772034975049118</v>
      </c>
      <c r="V40" t="n">
        <v>2.564949357461537</v>
      </c>
      <c r="W40" t="n">
        <v>19.81229239817941</v>
      </c>
      <c r="X40" t="n">
        <v>17.23948580969766</v>
      </c>
    </row>
    <row r="41">
      <c r="A41" t="inlineStr">
        <is>
          <t>SGR</t>
        </is>
      </c>
      <c r="B41" t="n">
        <v>2018</v>
      </c>
      <c r="C41" t="inlineStr">
        <is>
          <t>Utilities</t>
        </is>
      </c>
      <c r="D41" t="inlineStr">
        <is>
          <t>ITA</t>
        </is>
      </c>
      <c r="E41" t="inlineStr">
        <is>
          <t>Italy</t>
        </is>
      </c>
      <c r="F41" t="inlineStr">
        <is>
          <t>ITA</t>
        </is>
      </c>
      <c r="G41" t="inlineStr">
        <is>
          <t>Italy</t>
        </is>
      </c>
      <c r="H41" t="n">
        <v>342199773</v>
      </c>
      <c r="I41" t="n">
        <v>31066774</v>
      </c>
      <c r="J41" t="n">
        <v>11088582</v>
      </c>
      <c r="K41" t="n">
        <v>386</v>
      </c>
      <c r="L41" t="n">
        <v>104518720</v>
      </c>
      <c r="M41" t="n">
        <v>9603825</v>
      </c>
      <c r="N41" t="n">
        <v>341683891</v>
      </c>
      <c r="O41" t="n">
        <v>515882</v>
      </c>
      <c r="P41" t="inlineStr"/>
      <c r="Q41" t="inlineStr"/>
      <c r="R41" t="inlineStr">
        <is>
          <t>EUR</t>
        </is>
      </c>
      <c r="S41" t="n">
        <v>0.3091349298127962</v>
      </c>
      <c r="T41" t="n">
        <v>17.25164944591737</v>
      </c>
      <c r="U41" t="n">
        <v>0.09556440483036241</v>
      </c>
      <c r="V41" t="n">
        <v>5.955837369464831</v>
      </c>
      <c r="W41" t="n">
        <v>18.46487675208169</v>
      </c>
      <c r="X41" t="n">
        <v>13.1536333361414</v>
      </c>
    </row>
    <row r="42">
      <c r="A42" t="inlineStr">
        <is>
          <t>SGR</t>
        </is>
      </c>
      <c r="B42" t="n">
        <v>2019</v>
      </c>
      <c r="C42" t="inlineStr">
        <is>
          <t>Utilities</t>
        </is>
      </c>
      <c r="D42" t="inlineStr">
        <is>
          <t>ITA</t>
        </is>
      </c>
      <c r="E42" t="inlineStr">
        <is>
          <t>Italy</t>
        </is>
      </c>
      <c r="F42" t="inlineStr">
        <is>
          <t>ITA</t>
        </is>
      </c>
      <c r="G42" t="inlineStr">
        <is>
          <t>Italy</t>
        </is>
      </c>
      <c r="H42" t="n">
        <v>424175791</v>
      </c>
      <c r="I42" t="n">
        <v>35153290</v>
      </c>
      <c r="J42" t="n">
        <v>7680270</v>
      </c>
      <c r="K42" t="n">
        <v>392</v>
      </c>
      <c r="L42" t="n">
        <v>109495296</v>
      </c>
      <c r="M42" t="n">
        <v>9625692</v>
      </c>
      <c r="N42" t="n">
        <v>423875765</v>
      </c>
      <c r="O42" t="n">
        <v>300026</v>
      </c>
      <c r="P42" t="inlineStr"/>
      <c r="Q42" t="inlineStr"/>
      <c r="R42" t="inlineStr">
        <is>
          <t>EUR</t>
        </is>
      </c>
      <c r="S42" t="n">
        <v>0.2738205158037839</v>
      </c>
      <c r="T42" t="n">
        <v>17.37522877070287</v>
      </c>
      <c r="U42" t="n">
        <v>0.07497767487505028</v>
      </c>
      <c r="V42" t="n">
        <v>5.971261839790462</v>
      </c>
      <c r="W42" t="n">
        <v>18.51139214739396</v>
      </c>
      <c r="X42" t="n">
        <v>12.61162441654967</v>
      </c>
    </row>
    <row r="43">
      <c r="A43" t="inlineStr">
        <is>
          <t>SGR</t>
        </is>
      </c>
      <c r="B43" t="n">
        <v>2020</v>
      </c>
      <c r="C43" t="inlineStr">
        <is>
          <t>Utilities</t>
        </is>
      </c>
      <c r="D43" t="inlineStr">
        <is>
          <t>ITA</t>
        </is>
      </c>
      <c r="E43" t="inlineStr">
        <is>
          <t>Italy</t>
        </is>
      </c>
      <c r="F43" t="inlineStr">
        <is>
          <t>ITA</t>
        </is>
      </c>
      <c r="G43" t="inlineStr">
        <is>
          <t>Italy</t>
        </is>
      </c>
      <c r="H43" t="n">
        <v>373927340</v>
      </c>
      <c r="I43" t="n">
        <v>33372192</v>
      </c>
      <c r="J43" t="n">
        <v>10309532</v>
      </c>
      <c r="K43" t="n">
        <v>432</v>
      </c>
      <c r="L43" t="n">
        <v>176103029</v>
      </c>
      <c r="M43" t="n">
        <v>7724633</v>
      </c>
      <c r="N43" t="n">
        <v>370735337</v>
      </c>
      <c r="O43" t="n">
        <v>3192003</v>
      </c>
      <c r="P43" t="inlineStr"/>
      <c r="Q43" t="inlineStr"/>
      <c r="R43" t="inlineStr">
        <is>
          <t>EUR</t>
        </is>
      </c>
      <c r="S43" t="n">
        <v>0.2314691525207574</v>
      </c>
      <c r="T43" t="n">
        <v>17.32323353631369</v>
      </c>
      <c r="U43" t="n">
        <v>0.05357796856867765</v>
      </c>
      <c r="V43" t="n">
        <v>6.068425588244111</v>
      </c>
      <c r="W43" t="n">
        <v>18.9865797737728</v>
      </c>
      <c r="X43" t="n">
        <v>14.97615917740102</v>
      </c>
    </row>
    <row r="44">
      <c r="A44" t="inlineStr">
        <is>
          <t>SGR</t>
        </is>
      </c>
      <c r="B44" t="n">
        <v>2021</v>
      </c>
      <c r="C44" t="inlineStr">
        <is>
          <t>Utilities</t>
        </is>
      </c>
      <c r="D44" t="inlineStr">
        <is>
          <t>ITA</t>
        </is>
      </c>
      <c r="E44" t="inlineStr">
        <is>
          <t>Italy</t>
        </is>
      </c>
      <c r="F44" t="inlineStr">
        <is>
          <t>ITA</t>
        </is>
      </c>
      <c r="G44" t="inlineStr">
        <is>
          <t>Italy</t>
        </is>
      </c>
      <c r="H44" t="n">
        <v>530717278</v>
      </c>
      <c r="I44" t="n">
        <v>28372324</v>
      </c>
      <c r="J44" t="n">
        <v>6109793</v>
      </c>
      <c r="K44" t="n">
        <v>467</v>
      </c>
      <c r="L44" t="n">
        <v>175426238</v>
      </c>
      <c r="M44" t="n">
        <v>6752345</v>
      </c>
      <c r="N44" t="n">
        <v>526858985</v>
      </c>
      <c r="O44" t="n">
        <v>3858293</v>
      </c>
      <c r="P44" t="inlineStr"/>
      <c r="Q44" t="inlineStr"/>
      <c r="R44" t="inlineStr">
        <is>
          <t>EUR</t>
        </is>
      </c>
      <c r="S44" t="n">
        <v>0.2379905502277501</v>
      </c>
      <c r="T44" t="n">
        <v>17.16092472094848</v>
      </c>
      <c r="U44" t="n">
        <v>0.05663950199770725</v>
      </c>
      <c r="V44" t="n">
        <v>6.146329257668897</v>
      </c>
      <c r="W44" t="n">
        <v>18.98272921622466</v>
      </c>
      <c r="X44" t="n">
        <v>15.16573541565011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ENEL</t>
        </is>
      </c>
      <c r="B2" t="n">
        <v>2017</v>
      </c>
      <c r="C2" t="inlineStr">
        <is>
          <t>Utilities</t>
        </is>
      </c>
      <c r="D2" t="inlineStr">
        <is>
          <t>ITA</t>
        </is>
      </c>
      <c r="E2" t="inlineStr">
        <is>
          <t>Italy</t>
        </is>
      </c>
      <c r="F2" t="inlineStr">
        <is>
          <t>ITA</t>
        </is>
      </c>
      <c r="G2" t="inlineStr">
        <is>
          <t>Italy</t>
        </is>
      </c>
      <c r="H2" t="n">
        <v>58272000000</v>
      </c>
      <c r="I2" t="n">
        <v>2753000000</v>
      </c>
      <c r="J2" t="n">
        <v>629940000</v>
      </c>
      <c r="K2" t="n">
        <v>31408</v>
      </c>
      <c r="L2" t="inlineStr"/>
      <c r="M2" t="inlineStr"/>
      <c r="N2" t="inlineStr"/>
      <c r="O2" t="inlineStr"/>
      <c r="P2" t="inlineStr"/>
      <c r="Q2" t="inlineStr"/>
      <c r="R2" t="inlineStr">
        <is>
          <t>EUR</t>
        </is>
      </c>
      <c r="S2" t="n">
        <v>0.2288194696694515</v>
      </c>
      <c r="T2" t="n">
        <v>21.73595706310688</v>
      </c>
      <c r="U2" t="n">
        <v>0.05235834969980904</v>
      </c>
    </row>
    <row r="3">
      <c r="A3" t="inlineStr">
        <is>
          <t>ENEL</t>
        </is>
      </c>
      <c r="B3" t="n">
        <v>2017</v>
      </c>
      <c r="C3" t="inlineStr">
        <is>
          <t>Utilities</t>
        </is>
      </c>
      <c r="D3" t="inlineStr">
        <is>
          <t>ITA</t>
        </is>
      </c>
      <c r="E3" t="inlineStr">
        <is>
          <t>Italy</t>
        </is>
      </c>
      <c r="F3" t="inlineStr">
        <is>
          <t>BRA</t>
        </is>
      </c>
      <c r="G3" t="inlineStr">
        <is>
          <t>Brazil</t>
        </is>
      </c>
      <c r="H3" t="n">
        <v>7351000000</v>
      </c>
      <c r="I3" t="n">
        <v>564000000</v>
      </c>
      <c r="J3" t="n">
        <v>120370000</v>
      </c>
      <c r="K3" t="n">
        <v>4173</v>
      </c>
      <c r="L3" t="inlineStr"/>
      <c r="M3" t="inlineStr"/>
      <c r="N3" t="inlineStr"/>
      <c r="O3" t="inlineStr"/>
      <c r="P3" t="inlineStr"/>
      <c r="Q3" t="inlineStr"/>
      <c r="R3" t="inlineStr">
        <is>
          <t>EUR</t>
        </is>
      </c>
      <c r="S3" t="n">
        <v>0.2134219858156028</v>
      </c>
      <c r="T3" t="n">
        <v>20.15056480946233</v>
      </c>
      <c r="U3" t="n">
        <v>0.04554894402947538</v>
      </c>
    </row>
    <row r="4">
      <c r="A4" t="inlineStr">
        <is>
          <t>ENEL</t>
        </is>
      </c>
      <c r="B4" t="n">
        <v>2017</v>
      </c>
      <c r="C4" t="inlineStr">
        <is>
          <t>Utilities</t>
        </is>
      </c>
      <c r="D4" t="inlineStr">
        <is>
          <t>ITA</t>
        </is>
      </c>
      <c r="E4" t="inlineStr">
        <is>
          <t>Italy</t>
        </is>
      </c>
      <c r="F4" t="inlineStr">
        <is>
          <t>CHL</t>
        </is>
      </c>
      <c r="G4" t="inlineStr">
        <is>
          <t>Chile</t>
        </is>
      </c>
      <c r="H4" t="n">
        <v>3783000000</v>
      </c>
      <c r="I4" t="n">
        <v>1751000000</v>
      </c>
      <c r="J4" t="n">
        <v>194960000</v>
      </c>
      <c r="K4" t="n">
        <v>2315</v>
      </c>
      <c r="L4" t="inlineStr"/>
      <c r="M4" t="inlineStr"/>
      <c r="N4" t="inlineStr"/>
      <c r="O4" t="inlineStr"/>
      <c r="P4" t="inlineStr"/>
      <c r="Q4" t="inlineStr"/>
      <c r="R4" t="inlineStr">
        <is>
          <t>EUR</t>
        </is>
      </c>
      <c r="S4" t="n">
        <v>0.1113420902341519</v>
      </c>
      <c r="T4" t="n">
        <v>21.28345289025012</v>
      </c>
      <c r="U4" t="n">
        <v>0.01239706105771003</v>
      </c>
    </row>
    <row r="5">
      <c r="A5" t="inlineStr">
        <is>
          <t>ENEL</t>
        </is>
      </c>
      <c r="B5" t="n">
        <v>2017</v>
      </c>
      <c r="C5" t="inlineStr">
        <is>
          <t>Utilities</t>
        </is>
      </c>
      <c r="D5" t="inlineStr">
        <is>
          <t>ITA</t>
        </is>
      </c>
      <c r="E5" t="inlineStr">
        <is>
          <t>Italy</t>
        </is>
      </c>
      <c r="F5" t="inlineStr">
        <is>
          <t>COL</t>
        </is>
      </c>
      <c r="G5" t="inlineStr">
        <is>
          <t>Colombia</t>
        </is>
      </c>
      <c r="H5" t="n">
        <v>2388000000</v>
      </c>
      <c r="I5" t="n">
        <v>745000000</v>
      </c>
      <c r="J5" t="n">
        <v>262640000</v>
      </c>
      <c r="K5" t="n">
        <v>1953</v>
      </c>
      <c r="L5" t="inlineStr"/>
      <c r="M5" t="inlineStr"/>
      <c r="N5" t="inlineStr"/>
      <c r="O5" t="inlineStr"/>
      <c r="P5" t="inlineStr"/>
      <c r="Q5" t="inlineStr"/>
      <c r="R5" t="inlineStr">
        <is>
          <t>EUR</t>
        </is>
      </c>
      <c r="S5" t="n">
        <v>0.3525369127516779</v>
      </c>
      <c r="T5" t="n">
        <v>20.42889477634384</v>
      </c>
      <c r="U5" t="n">
        <v>0.1242822748524841</v>
      </c>
    </row>
    <row r="6">
      <c r="A6" t="inlineStr">
        <is>
          <t>ENEL</t>
        </is>
      </c>
      <c r="B6" t="n">
        <v>2017</v>
      </c>
      <c r="C6" t="inlineStr">
        <is>
          <t>Utilities</t>
        </is>
      </c>
      <c r="D6" t="inlineStr">
        <is>
          <t>ITA</t>
        </is>
      </c>
      <c r="E6" t="inlineStr">
        <is>
          <t>Italy</t>
        </is>
      </c>
      <c r="F6" t="inlineStr">
        <is>
          <t>ARG</t>
        </is>
      </c>
      <c r="G6" t="inlineStr">
        <is>
          <t>Argentina</t>
        </is>
      </c>
      <c r="H6" t="n">
        <v>1335000000</v>
      </c>
      <c r="I6" t="n">
        <v>57000000</v>
      </c>
      <c r="J6" t="n">
        <v>28340000</v>
      </c>
      <c r="K6" t="n">
        <v>4972</v>
      </c>
      <c r="L6" t="inlineStr"/>
      <c r="M6" t="inlineStr"/>
      <c r="N6" t="inlineStr"/>
      <c r="O6" t="inlineStr"/>
      <c r="P6" t="inlineStr"/>
      <c r="Q6" t="inlineStr"/>
      <c r="R6" t="inlineStr">
        <is>
          <t>EUR</t>
        </is>
      </c>
      <c r="S6" t="n">
        <v>0.4971929824561404</v>
      </c>
      <c r="T6" t="n">
        <v>17.85856182579882</v>
      </c>
      <c r="U6" t="n">
        <v>0.2472008618036319</v>
      </c>
    </row>
    <row r="7">
      <c r="A7" t="inlineStr">
        <is>
          <t>ENEL</t>
        </is>
      </c>
      <c r="B7" t="n">
        <v>2017</v>
      </c>
      <c r="C7" t="inlineStr">
        <is>
          <t>Utilities</t>
        </is>
      </c>
      <c r="D7" t="inlineStr">
        <is>
          <t>ITA</t>
        </is>
      </c>
      <c r="E7" t="inlineStr">
        <is>
          <t>Italy</t>
        </is>
      </c>
      <c r="F7" t="inlineStr">
        <is>
          <t>PER</t>
        </is>
      </c>
      <c r="G7" t="inlineStr">
        <is>
          <t>Peru</t>
        </is>
      </c>
      <c r="H7" t="n">
        <v>1391000000</v>
      </c>
      <c r="I7" t="n">
        <v>322000000</v>
      </c>
      <c r="J7" t="n">
        <v>107830000</v>
      </c>
      <c r="K7" t="n">
        <v>949</v>
      </c>
      <c r="L7" t="inlineStr"/>
      <c r="M7" t="inlineStr"/>
      <c r="N7" t="inlineStr"/>
      <c r="O7" t="inlineStr"/>
      <c r="P7" t="inlineStr"/>
      <c r="Q7" t="inlineStr"/>
      <c r="R7" t="inlineStr">
        <is>
          <t>EUR</t>
        </is>
      </c>
      <c r="S7" t="n">
        <v>0.3348757763975155</v>
      </c>
      <c r="T7" t="n">
        <v>19.59006210350868</v>
      </c>
      <c r="U7" t="n">
        <v>0.1121417856178388</v>
      </c>
    </row>
    <row r="8">
      <c r="A8" t="inlineStr">
        <is>
          <t>ENEL</t>
        </is>
      </c>
      <c r="B8" t="n">
        <v>2017</v>
      </c>
      <c r="C8" t="inlineStr">
        <is>
          <t>Utilities</t>
        </is>
      </c>
      <c r="D8" t="inlineStr">
        <is>
          <t>ITA</t>
        </is>
      </c>
      <c r="E8" t="inlineStr">
        <is>
          <t>Italy</t>
        </is>
      </c>
      <c r="F8" t="inlineStr">
        <is>
          <t>RUS</t>
        </is>
      </c>
      <c r="G8" t="inlineStr">
        <is>
          <t>Russia</t>
        </is>
      </c>
      <c r="H8" t="n">
        <v>1136000000</v>
      </c>
      <c r="I8" t="n">
        <v>121000000</v>
      </c>
      <c r="J8" t="n">
        <v>17800000</v>
      </c>
      <c r="K8" t="n">
        <v>2613</v>
      </c>
      <c r="L8" t="inlineStr"/>
      <c r="M8" t="inlineStr"/>
      <c r="N8" t="inlineStr"/>
      <c r="O8" t="inlineStr"/>
      <c r="P8" t="inlineStr"/>
      <c r="Q8" t="inlineStr"/>
      <c r="R8" t="inlineStr">
        <is>
          <t>EUR</t>
        </is>
      </c>
      <c r="S8" t="n">
        <v>0.1471074380165289</v>
      </c>
      <c r="T8" t="n">
        <v>18.61130110356101</v>
      </c>
      <c r="U8" t="n">
        <v>0.0216405983197869</v>
      </c>
    </row>
    <row r="9">
      <c r="A9" t="inlineStr">
        <is>
          <t>ENEL</t>
        </is>
      </c>
      <c r="B9" t="n">
        <v>2017</v>
      </c>
      <c r="C9" t="inlineStr">
        <is>
          <t>Utilities</t>
        </is>
      </c>
      <c r="D9" t="inlineStr">
        <is>
          <t>ITA</t>
        </is>
      </c>
      <c r="E9" t="inlineStr">
        <is>
          <t>Italy</t>
        </is>
      </c>
      <c r="F9" t="inlineStr">
        <is>
          <t>ROU</t>
        </is>
      </c>
      <c r="G9" t="inlineStr">
        <is>
          <t>Romania</t>
        </is>
      </c>
      <c r="H9" t="n">
        <v>1813000000</v>
      </c>
      <c r="I9" t="n">
        <v>139000000</v>
      </c>
      <c r="J9" t="n">
        <v>10170000</v>
      </c>
      <c r="K9" t="n">
        <v>3090</v>
      </c>
      <c r="L9" t="inlineStr"/>
      <c r="M9" t="inlineStr"/>
      <c r="N9" t="inlineStr"/>
      <c r="O9" t="inlineStr"/>
      <c r="P9" t="inlineStr"/>
      <c r="Q9" t="inlineStr"/>
      <c r="R9" t="inlineStr">
        <is>
          <t>EUR</t>
        </is>
      </c>
      <c r="S9" t="n">
        <v>0.07316546762589927</v>
      </c>
      <c r="T9" t="n">
        <v>18.74998449109497</v>
      </c>
      <c r="U9" t="n">
        <v>0.005353185652916515</v>
      </c>
    </row>
    <row r="10">
      <c r="A10" t="inlineStr">
        <is>
          <t>ENEL</t>
        </is>
      </c>
      <c r="B10" t="n">
        <v>2018</v>
      </c>
      <c r="C10" t="inlineStr">
        <is>
          <t>Utilities</t>
        </is>
      </c>
      <c r="D10" t="inlineStr">
        <is>
          <t>ITA</t>
        </is>
      </c>
      <c r="E10" t="inlineStr">
        <is>
          <t>Italy</t>
        </is>
      </c>
      <c r="F10" t="inlineStr">
        <is>
          <t>ITA</t>
        </is>
      </c>
      <c r="G10" t="inlineStr">
        <is>
          <t>Italy</t>
        </is>
      </c>
      <c r="H10" t="n">
        <v>61742000000</v>
      </c>
      <c r="I10" t="n">
        <v>3731000000</v>
      </c>
      <c r="J10" t="n">
        <v>776150000</v>
      </c>
      <c r="K10" t="n">
        <v>30596</v>
      </c>
      <c r="L10" t="inlineStr"/>
      <c r="M10" t="inlineStr"/>
      <c r="N10" t="inlineStr"/>
      <c r="O10" t="inlineStr"/>
      <c r="P10" t="inlineStr"/>
      <c r="Q10" t="inlineStr"/>
      <c r="R10" t="inlineStr">
        <is>
          <t>EUR</t>
        </is>
      </c>
      <c r="S10" t="n">
        <v>0.2080273385151434</v>
      </c>
      <c r="T10" t="n">
        <v>22.03994213118543</v>
      </c>
      <c r="U10" t="n">
        <v>0.04327537356969407</v>
      </c>
    </row>
    <row r="11">
      <c r="A11" t="inlineStr">
        <is>
          <t>ENEL</t>
        </is>
      </c>
      <c r="B11" t="n">
        <v>2018</v>
      </c>
      <c r="C11" t="inlineStr">
        <is>
          <t>Utilities</t>
        </is>
      </c>
      <c r="D11" t="inlineStr">
        <is>
          <t>ITA</t>
        </is>
      </c>
      <c r="E11" t="inlineStr">
        <is>
          <t>Italy</t>
        </is>
      </c>
      <c r="F11" t="inlineStr">
        <is>
          <t>BRA</t>
        </is>
      </c>
      <c r="G11" t="inlineStr">
        <is>
          <t>Brazil</t>
        </is>
      </c>
      <c r="H11" t="n">
        <v>10507000000</v>
      </c>
      <c r="I11" t="n">
        <v>339000000</v>
      </c>
      <c r="J11" t="n">
        <v>168000000</v>
      </c>
      <c r="K11" t="n">
        <v>11270</v>
      </c>
      <c r="L11" t="inlineStr"/>
      <c r="M11" t="inlineStr"/>
      <c r="N11" t="inlineStr"/>
      <c r="O11" t="inlineStr"/>
      <c r="P11" t="inlineStr"/>
      <c r="Q11" t="inlineStr"/>
      <c r="R11" t="inlineStr">
        <is>
          <t>EUR</t>
        </is>
      </c>
      <c r="S11" t="n">
        <v>0.495575221238938</v>
      </c>
      <c r="T11" t="n">
        <v>19.64151066534473</v>
      </c>
      <c r="U11" t="n">
        <v>0.2455947999060224</v>
      </c>
    </row>
    <row r="12">
      <c r="A12" t="inlineStr">
        <is>
          <t>ENEL</t>
        </is>
      </c>
      <c r="B12" t="n">
        <v>2018</v>
      </c>
      <c r="C12" t="inlineStr">
        <is>
          <t>Utilities</t>
        </is>
      </c>
      <c r="D12" t="inlineStr">
        <is>
          <t>ITA</t>
        </is>
      </c>
      <c r="E12" t="inlineStr">
        <is>
          <t>Italy</t>
        </is>
      </c>
      <c r="F12" t="inlineStr">
        <is>
          <t>CHL</t>
        </is>
      </c>
      <c r="G12" t="inlineStr">
        <is>
          <t>Chile</t>
        </is>
      </c>
      <c r="H12" t="n">
        <v>3248000000</v>
      </c>
      <c r="I12" t="n">
        <v>700000000</v>
      </c>
      <c r="J12" t="n">
        <v>164390000</v>
      </c>
      <c r="K12" t="n">
        <v>2213</v>
      </c>
      <c r="L12" t="inlineStr"/>
      <c r="M12" t="inlineStr"/>
      <c r="N12" t="inlineStr"/>
      <c r="O12" t="inlineStr"/>
      <c r="P12" t="inlineStr"/>
      <c r="Q12" t="inlineStr"/>
      <c r="R12" t="inlineStr">
        <is>
          <t>EUR</t>
        </is>
      </c>
      <c r="S12" t="n">
        <v>0.2348428571428571</v>
      </c>
      <c r="T12" t="n">
        <v>20.36659089300768</v>
      </c>
      <c r="U12" t="n">
        <v>0.0551511675510204</v>
      </c>
    </row>
    <row r="13">
      <c r="A13" t="inlineStr">
        <is>
          <t>ENEL</t>
        </is>
      </c>
      <c r="B13" t="n">
        <v>2018</v>
      </c>
      <c r="C13" t="inlineStr">
        <is>
          <t>Utilities</t>
        </is>
      </c>
      <c r="D13" t="inlineStr">
        <is>
          <t>ITA</t>
        </is>
      </c>
      <c r="E13" t="inlineStr">
        <is>
          <t>Italy</t>
        </is>
      </c>
      <c r="F13" t="inlineStr">
        <is>
          <t>COL</t>
        </is>
      </c>
      <c r="G13" t="inlineStr">
        <is>
          <t>Colombia</t>
        </is>
      </c>
      <c r="H13" t="n">
        <v>2518000000</v>
      </c>
      <c r="I13" t="n">
        <v>724000000</v>
      </c>
      <c r="J13" t="n">
        <v>262370000</v>
      </c>
      <c r="K13" t="n">
        <v>2097</v>
      </c>
      <c r="L13" t="inlineStr"/>
      <c r="M13" t="inlineStr"/>
      <c r="N13" t="inlineStr"/>
      <c r="O13" t="inlineStr"/>
      <c r="P13" t="inlineStr"/>
      <c r="Q13" t="inlineStr"/>
      <c r="R13" t="inlineStr">
        <is>
          <t>EUR</t>
        </is>
      </c>
      <c r="S13" t="n">
        <v>0.3623895027624309</v>
      </c>
      <c r="T13" t="n">
        <v>20.40030195034999</v>
      </c>
      <c r="U13" t="n">
        <v>0.1313261517124019</v>
      </c>
    </row>
    <row r="14">
      <c r="A14" t="inlineStr">
        <is>
          <t>ENEL</t>
        </is>
      </c>
      <c r="B14" t="n">
        <v>2018</v>
      </c>
      <c r="C14" t="inlineStr">
        <is>
          <t>Utilities</t>
        </is>
      </c>
      <c r="D14" t="inlineStr">
        <is>
          <t>ITA</t>
        </is>
      </c>
      <c r="E14" t="inlineStr">
        <is>
          <t>Italy</t>
        </is>
      </c>
      <c r="F14" t="inlineStr">
        <is>
          <t>ARG</t>
        </is>
      </c>
      <c r="G14" t="inlineStr">
        <is>
          <t>Argentina</t>
        </is>
      </c>
      <c r="H14" t="n">
        <v>1298000000</v>
      </c>
      <c r="I14" t="n">
        <v>389000000</v>
      </c>
      <c r="J14" t="n">
        <v>30530000</v>
      </c>
      <c r="K14" t="n">
        <v>4600</v>
      </c>
      <c r="L14" t="inlineStr"/>
      <c r="M14" t="inlineStr"/>
      <c r="N14" t="inlineStr"/>
      <c r="O14" t="inlineStr"/>
      <c r="P14" t="inlineStr"/>
      <c r="Q14" t="inlineStr"/>
      <c r="R14" t="inlineStr">
        <is>
          <t>EUR</t>
        </is>
      </c>
      <c r="S14" t="n">
        <v>0.07848329048843188</v>
      </c>
      <c r="T14" t="n">
        <v>19.77908990158272</v>
      </c>
      <c r="U14" t="n">
        <v>0.006159626885891581</v>
      </c>
    </row>
    <row r="15">
      <c r="A15" t="inlineStr">
        <is>
          <t>ENEL</t>
        </is>
      </c>
      <c r="B15" t="n">
        <v>2018</v>
      </c>
      <c r="C15" t="inlineStr">
        <is>
          <t>Utilities</t>
        </is>
      </c>
      <c r="D15" t="inlineStr">
        <is>
          <t>ITA</t>
        </is>
      </c>
      <c r="E15" t="inlineStr">
        <is>
          <t>Italy</t>
        </is>
      </c>
      <c r="F15" t="inlineStr">
        <is>
          <t>PER</t>
        </is>
      </c>
      <c r="G15" t="inlineStr">
        <is>
          <t>Peru</t>
        </is>
      </c>
      <c r="H15" t="n">
        <v>1270000000</v>
      </c>
      <c r="I15" t="n">
        <v>363000000</v>
      </c>
      <c r="J15" t="n">
        <v>94000000</v>
      </c>
      <c r="K15" t="n">
        <v>942</v>
      </c>
      <c r="L15" t="inlineStr"/>
      <c r="M15" t="inlineStr"/>
      <c r="N15" t="inlineStr"/>
      <c r="O15" t="inlineStr"/>
      <c r="P15" t="inlineStr"/>
      <c r="Q15" t="inlineStr"/>
      <c r="R15" t="inlineStr">
        <is>
          <t>EUR</t>
        </is>
      </c>
      <c r="S15" t="n">
        <v>0.2589531680440771</v>
      </c>
      <c r="T15" t="n">
        <v>19.70991339222913</v>
      </c>
      <c r="U15" t="n">
        <v>0.06705674324006405</v>
      </c>
    </row>
    <row r="16">
      <c r="A16" t="inlineStr">
        <is>
          <t>ENEL</t>
        </is>
      </c>
      <c r="B16" t="n">
        <v>2018</v>
      </c>
      <c r="C16" t="inlineStr">
        <is>
          <t>Utilities</t>
        </is>
      </c>
      <c r="D16" t="inlineStr">
        <is>
          <t>ITA</t>
        </is>
      </c>
      <c r="E16" t="inlineStr">
        <is>
          <t>Italy</t>
        </is>
      </c>
      <c r="F16" t="inlineStr">
        <is>
          <t>RUS</t>
        </is>
      </c>
      <c r="G16" t="inlineStr">
        <is>
          <t>Russia</t>
        </is>
      </c>
      <c r="H16" t="n">
        <v>1003000000</v>
      </c>
      <c r="I16" t="n">
        <v>89000000</v>
      </c>
      <c r="J16" t="n">
        <v>8260000</v>
      </c>
      <c r="K16" t="n">
        <v>2556</v>
      </c>
      <c r="L16" t="inlineStr"/>
      <c r="M16" t="inlineStr"/>
      <c r="N16" t="inlineStr"/>
      <c r="O16" t="inlineStr"/>
      <c r="P16" t="inlineStr"/>
      <c r="Q16" t="inlineStr"/>
      <c r="R16" t="inlineStr">
        <is>
          <t>EUR</t>
        </is>
      </c>
      <c r="S16" t="n">
        <v>0.09280898876404495</v>
      </c>
      <c r="T16" t="n">
        <v>18.30414692769642</v>
      </c>
      <c r="U16" t="n">
        <v>0.008613508395404621</v>
      </c>
    </row>
    <row r="17">
      <c r="A17" t="inlineStr">
        <is>
          <t>ENEL</t>
        </is>
      </c>
      <c r="B17" t="n">
        <v>2019</v>
      </c>
      <c r="C17" t="inlineStr">
        <is>
          <t>Utilities</t>
        </is>
      </c>
      <c r="D17" t="inlineStr">
        <is>
          <t>ITA</t>
        </is>
      </c>
      <c r="E17" t="inlineStr">
        <is>
          <t>Italy</t>
        </is>
      </c>
      <c r="F17" t="inlineStr">
        <is>
          <t>ITA</t>
        </is>
      </c>
      <c r="G17" t="inlineStr">
        <is>
          <t>Italy</t>
        </is>
      </c>
      <c r="H17" t="n">
        <v>63524400000</v>
      </c>
      <c r="I17" t="n">
        <v>1590500000</v>
      </c>
      <c r="J17" t="n">
        <v>769300000</v>
      </c>
      <c r="K17" t="n">
        <v>29778</v>
      </c>
      <c r="L17" t="inlineStr"/>
      <c r="M17" t="inlineStr"/>
      <c r="N17" t="inlineStr"/>
      <c r="O17" t="inlineStr"/>
      <c r="P17" t="inlineStr"/>
      <c r="Q17" t="inlineStr"/>
      <c r="R17" t="inlineStr">
        <is>
          <t>EUR</t>
        </is>
      </c>
      <c r="S17" t="n">
        <v>0.4836843759823955</v>
      </c>
      <c r="T17" t="n">
        <v>21.18731426915347</v>
      </c>
      <c r="U17" t="n">
        <v>0.2339505755694793</v>
      </c>
    </row>
    <row r="18">
      <c r="A18" t="inlineStr">
        <is>
          <t>ENEL</t>
        </is>
      </c>
      <c r="B18" t="n">
        <v>2019</v>
      </c>
      <c r="C18" t="inlineStr">
        <is>
          <t>Utilities</t>
        </is>
      </c>
      <c r="D18" t="inlineStr">
        <is>
          <t>ITA</t>
        </is>
      </c>
      <c r="E18" t="inlineStr">
        <is>
          <t>Italy</t>
        </is>
      </c>
      <c r="F18" t="inlineStr">
        <is>
          <t>BRA</t>
        </is>
      </c>
      <c r="G18" t="inlineStr">
        <is>
          <t>Brazil</t>
        </is>
      </c>
      <c r="H18" t="n">
        <v>12515500000</v>
      </c>
      <c r="I18" t="n">
        <v>528500000</v>
      </c>
      <c r="J18" t="n">
        <v>162800000</v>
      </c>
      <c r="K18" t="n">
        <v>10883</v>
      </c>
      <c r="L18" t="inlineStr"/>
      <c r="M18" t="inlineStr"/>
      <c r="N18" t="inlineStr"/>
      <c r="O18" t="inlineStr"/>
      <c r="P18" t="inlineStr"/>
      <c r="Q18" t="inlineStr"/>
      <c r="R18" t="inlineStr">
        <is>
          <t>EUR</t>
        </is>
      </c>
      <c r="S18" t="n">
        <v>0.3080416272469252</v>
      </c>
      <c r="T18" t="n">
        <v>20.08555336327457</v>
      </c>
      <c r="U18" t="n">
        <v>0.09488964411693364</v>
      </c>
    </row>
    <row r="19">
      <c r="A19" t="inlineStr">
        <is>
          <t>ENEL</t>
        </is>
      </c>
      <c r="B19" t="n">
        <v>2019</v>
      </c>
      <c r="C19" t="inlineStr">
        <is>
          <t>Utilities</t>
        </is>
      </c>
      <c r="D19" t="inlineStr">
        <is>
          <t>ITA</t>
        </is>
      </c>
      <c r="E19" t="inlineStr">
        <is>
          <t>Italy</t>
        </is>
      </c>
      <c r="F19" t="inlineStr">
        <is>
          <t>CHL</t>
        </is>
      </c>
      <c r="G19" t="inlineStr">
        <is>
          <t>Chile</t>
        </is>
      </c>
      <c r="H19" t="n">
        <v>3523800000</v>
      </c>
      <c r="I19" t="n">
        <v>421200000</v>
      </c>
      <c r="J19" t="n">
        <v>100900000</v>
      </c>
      <c r="K19" t="n">
        <v>2153</v>
      </c>
      <c r="L19" t="inlineStr"/>
      <c r="M19" t="inlineStr"/>
      <c r="N19" t="inlineStr"/>
      <c r="O19" t="inlineStr"/>
      <c r="P19" t="inlineStr"/>
      <c r="Q19" t="inlineStr"/>
      <c r="R19" t="inlineStr">
        <is>
          <t>EUR</t>
        </is>
      </c>
      <c r="S19" t="n">
        <v>0.2395536562203229</v>
      </c>
      <c r="T19" t="n">
        <v>19.85861833822409</v>
      </c>
      <c r="U19" t="n">
        <v>0.05738595420852464</v>
      </c>
    </row>
    <row r="20">
      <c r="A20" t="inlineStr">
        <is>
          <t>ENEL</t>
        </is>
      </c>
      <c r="B20" t="n">
        <v>2019</v>
      </c>
      <c r="C20" t="inlineStr">
        <is>
          <t>Utilities</t>
        </is>
      </c>
      <c r="D20" t="inlineStr">
        <is>
          <t>ITA</t>
        </is>
      </c>
      <c r="E20" t="inlineStr">
        <is>
          <t>Italy</t>
        </is>
      </c>
      <c r="F20" t="inlineStr">
        <is>
          <t>COL</t>
        </is>
      </c>
      <c r="G20" t="inlineStr">
        <is>
          <t>Colombia</t>
        </is>
      </c>
      <c r="H20" t="n">
        <v>2607800000</v>
      </c>
      <c r="I20" t="n">
        <v>821500000</v>
      </c>
      <c r="J20" t="n">
        <v>234300000</v>
      </c>
      <c r="K20" t="n">
        <v>2166</v>
      </c>
      <c r="L20" t="inlineStr"/>
      <c r="M20" t="inlineStr"/>
      <c r="N20" t="inlineStr"/>
      <c r="O20" t="inlineStr"/>
      <c r="P20" t="inlineStr"/>
      <c r="Q20" t="inlineStr"/>
      <c r="R20" t="inlineStr">
        <is>
          <t>EUR</t>
        </is>
      </c>
      <c r="S20" t="n">
        <v>0.2852099817407182</v>
      </c>
      <c r="T20" t="n">
        <v>20.5266424954416</v>
      </c>
      <c r="U20" t="n">
        <v>0.08134473368454082</v>
      </c>
    </row>
    <row r="21">
      <c r="A21" t="inlineStr">
        <is>
          <t>ENEL</t>
        </is>
      </c>
      <c r="B21" t="n">
        <v>2019</v>
      </c>
      <c r="C21" t="inlineStr">
        <is>
          <t>Utilities</t>
        </is>
      </c>
      <c r="D21" t="inlineStr">
        <is>
          <t>ITA</t>
        </is>
      </c>
      <c r="E21" t="inlineStr">
        <is>
          <t>Italy</t>
        </is>
      </c>
      <c r="F21" t="inlineStr">
        <is>
          <t>ARG</t>
        </is>
      </c>
      <c r="G21" t="inlineStr">
        <is>
          <t>Argentina</t>
        </is>
      </c>
      <c r="H21" t="n">
        <v>1399800000</v>
      </c>
      <c r="I21" t="n">
        <v>479800000</v>
      </c>
      <c r="J21" t="n">
        <v>108600000</v>
      </c>
      <c r="K21" t="n">
        <v>4247</v>
      </c>
      <c r="L21" t="inlineStr"/>
      <c r="M21" t="inlineStr"/>
      <c r="N21" t="inlineStr"/>
      <c r="O21" t="inlineStr"/>
      <c r="P21" t="inlineStr"/>
      <c r="Q21" t="inlineStr"/>
      <c r="R21" t="inlineStr">
        <is>
          <t>EUR</t>
        </is>
      </c>
      <c r="S21" t="n">
        <v>0.2263443101292205</v>
      </c>
      <c r="T21" t="n">
        <v>19.98887990836987</v>
      </c>
      <c r="U21" t="n">
        <v>0.05123174672787276</v>
      </c>
    </row>
    <row r="22">
      <c r="A22" t="inlineStr">
        <is>
          <t>ENEL</t>
        </is>
      </c>
      <c r="B22" t="n">
        <v>2019</v>
      </c>
      <c r="C22" t="inlineStr">
        <is>
          <t>Utilities</t>
        </is>
      </c>
      <c r="D22" t="inlineStr">
        <is>
          <t>ITA</t>
        </is>
      </c>
      <c r="E22" t="inlineStr">
        <is>
          <t>Italy</t>
        </is>
      </c>
      <c r="F22" t="inlineStr">
        <is>
          <t>PER</t>
        </is>
      </c>
      <c r="G22" t="inlineStr">
        <is>
          <t>Peru</t>
        </is>
      </c>
      <c r="H22" t="n">
        <v>1410400000</v>
      </c>
      <c r="I22" t="n">
        <v>386100000</v>
      </c>
      <c r="J22" t="n">
        <v>103800000</v>
      </c>
      <c r="K22" t="n">
        <v>935</v>
      </c>
      <c r="L22" t="inlineStr"/>
      <c r="M22" t="inlineStr"/>
      <c r="N22" t="inlineStr"/>
      <c r="O22" t="inlineStr"/>
      <c r="P22" t="inlineStr"/>
      <c r="Q22" t="inlineStr"/>
      <c r="R22" t="inlineStr">
        <is>
          <t>EUR</t>
        </is>
      </c>
      <c r="S22" t="n">
        <v>0.2688422688422689</v>
      </c>
      <c r="T22" t="n">
        <v>19.77160696123446</v>
      </c>
      <c r="U22" t="n">
        <v>0.07227616551625876</v>
      </c>
    </row>
    <row r="23">
      <c r="A23" t="inlineStr">
        <is>
          <t>ENEL</t>
        </is>
      </c>
      <c r="B23" t="n">
        <v>2019</v>
      </c>
      <c r="C23" t="inlineStr">
        <is>
          <t>Utilities</t>
        </is>
      </c>
      <c r="D23" t="inlineStr">
        <is>
          <t>ITA</t>
        </is>
      </c>
      <c r="E23" t="inlineStr">
        <is>
          <t>Italy</t>
        </is>
      </c>
      <c r="F23" t="inlineStr">
        <is>
          <t>RUS</t>
        </is>
      </c>
      <c r="G23" t="inlineStr">
        <is>
          <t>Russia</t>
        </is>
      </c>
      <c r="H23" t="n">
        <v>1034100000</v>
      </c>
      <c r="I23" t="n">
        <v>201200000</v>
      </c>
      <c r="J23" t="n">
        <v>29300000</v>
      </c>
      <c r="K23" t="n">
        <v>2501</v>
      </c>
      <c r="L23" t="inlineStr"/>
      <c r="M23" t="inlineStr"/>
      <c r="N23" t="inlineStr"/>
      <c r="O23" t="inlineStr"/>
      <c r="P23" t="inlineStr"/>
      <c r="Q23" t="inlineStr"/>
      <c r="R23" t="inlineStr">
        <is>
          <t>EUR</t>
        </is>
      </c>
      <c r="S23" t="n">
        <v>0.1456262425447316</v>
      </c>
      <c r="T23" t="n">
        <v>19.11980999618986</v>
      </c>
      <c r="U23" t="n">
        <v>0.021207002517697</v>
      </c>
    </row>
    <row r="24">
      <c r="A24" t="inlineStr">
        <is>
          <t>ENEL</t>
        </is>
      </c>
      <c r="B24" t="n">
        <v>2019</v>
      </c>
      <c r="C24" t="inlineStr">
        <is>
          <t>Utilities</t>
        </is>
      </c>
      <c r="D24" t="inlineStr">
        <is>
          <t>ITA</t>
        </is>
      </c>
      <c r="E24" t="inlineStr">
        <is>
          <t>Italy</t>
        </is>
      </c>
      <c r="F24" t="inlineStr">
        <is>
          <t>ROU</t>
        </is>
      </c>
      <c r="G24" t="inlineStr">
        <is>
          <t>Romania</t>
        </is>
      </c>
      <c r="H24" t="n">
        <v>1966200000</v>
      </c>
      <c r="I24" t="n">
        <v>173100000</v>
      </c>
      <c r="J24" t="n">
        <v>13700000</v>
      </c>
      <c r="K24" t="n">
        <v>3159</v>
      </c>
      <c r="L24" t="inlineStr"/>
      <c r="M24" t="inlineStr"/>
      <c r="N24" t="inlineStr"/>
      <c r="O24" t="inlineStr"/>
      <c r="P24" t="inlineStr"/>
      <c r="Q24" t="inlineStr"/>
      <c r="R24" t="inlineStr">
        <is>
          <t>EUR</t>
        </is>
      </c>
      <c r="S24" t="n">
        <v>0.07914500288850375</v>
      </c>
      <c r="T24" t="n">
        <v>18.96938002014644</v>
      </c>
      <c r="U24" t="n">
        <v>0.006263931482221267</v>
      </c>
    </row>
    <row r="25">
      <c r="A25" t="inlineStr">
        <is>
          <t>ENEL</t>
        </is>
      </c>
      <c r="B25" t="n">
        <v>2019</v>
      </c>
      <c r="C25" t="inlineStr">
        <is>
          <t>Utilities</t>
        </is>
      </c>
      <c r="D25" t="inlineStr">
        <is>
          <t>ITA</t>
        </is>
      </c>
      <c r="E25" t="inlineStr">
        <is>
          <t>Italy</t>
        </is>
      </c>
      <c r="F25" t="inlineStr">
        <is>
          <t>OTHER</t>
        </is>
      </c>
      <c r="G25" t="inlineStr">
        <is>
          <t>USA and Canada</t>
        </is>
      </c>
      <c r="H25" t="n">
        <v>1220600000</v>
      </c>
      <c r="I25" t="n">
        <v>70500000</v>
      </c>
      <c r="J25" t="n">
        <v>1600000</v>
      </c>
      <c r="K25" t="n">
        <v>1295</v>
      </c>
      <c r="L25" t="inlineStr"/>
      <c r="M25" t="inlineStr"/>
      <c r="N25" t="inlineStr"/>
      <c r="O25" t="inlineStr"/>
      <c r="P25" t="inlineStr"/>
      <c r="Q25" t="inlineStr"/>
      <c r="R25" t="inlineStr">
        <is>
          <t>EUR</t>
        </is>
      </c>
      <c r="S25" t="n">
        <v>0.02269503546099291</v>
      </c>
      <c r="T25" t="n">
        <v>18.0711232677825</v>
      </c>
      <c r="U25" t="n">
        <v>0.0005150646345757256</v>
      </c>
    </row>
    <row r="26">
      <c r="A26" t="inlineStr">
        <is>
          <t>ENEL</t>
        </is>
      </c>
      <c r="B26" t="n">
        <v>2019</v>
      </c>
      <c r="C26" t="inlineStr">
        <is>
          <t>Utilities</t>
        </is>
      </c>
      <c r="D26" t="inlineStr">
        <is>
          <t>ITA</t>
        </is>
      </c>
      <c r="E26" t="inlineStr">
        <is>
          <t>Italy</t>
        </is>
      </c>
      <c r="F26" t="inlineStr">
        <is>
          <t>PAN</t>
        </is>
      </c>
      <c r="G26" t="inlineStr">
        <is>
          <t>Panama</t>
        </is>
      </c>
      <c r="H26" t="n">
        <v>197700000</v>
      </c>
      <c r="I26" t="n">
        <v>89200000</v>
      </c>
      <c r="J26" t="n">
        <v>32900000</v>
      </c>
      <c r="K26" t="n">
        <v>93</v>
      </c>
      <c r="L26" t="inlineStr"/>
      <c r="M26" t="inlineStr"/>
      <c r="N26" t="inlineStr"/>
      <c r="O26" t="inlineStr"/>
      <c r="P26" t="inlineStr"/>
      <c r="Q26" t="inlineStr"/>
      <c r="R26" t="inlineStr">
        <is>
          <t>EUR</t>
        </is>
      </c>
      <c r="S26" t="n">
        <v>0.3688340807174888</v>
      </c>
      <c r="T26" t="n">
        <v>18.30639159755024</v>
      </c>
      <c r="U26" t="n">
        <v>0.1360385790987151</v>
      </c>
    </row>
    <row r="27">
      <c r="A27" t="inlineStr">
        <is>
          <t>ENEL</t>
        </is>
      </c>
      <c r="B27" t="n">
        <v>2019</v>
      </c>
      <c r="C27" t="inlineStr">
        <is>
          <t>Utilities</t>
        </is>
      </c>
      <c r="D27" t="inlineStr">
        <is>
          <t>ITA</t>
        </is>
      </c>
      <c r="E27" t="inlineStr">
        <is>
          <t>Italy</t>
        </is>
      </c>
      <c r="F27" t="inlineStr">
        <is>
          <t>NLD</t>
        </is>
      </c>
      <c r="G27" t="inlineStr">
        <is>
          <t>Netherlands</t>
        </is>
      </c>
      <c r="H27" t="n">
        <v>110100000</v>
      </c>
      <c r="I27" t="n">
        <v>158600000</v>
      </c>
      <c r="J27" t="n">
        <v>8200000</v>
      </c>
      <c r="K27" t="n">
        <v>16</v>
      </c>
      <c r="L27" t="inlineStr"/>
      <c r="M27" t="inlineStr"/>
      <c r="N27" t="inlineStr"/>
      <c r="O27" t="inlineStr"/>
      <c r="P27" t="inlineStr"/>
      <c r="Q27" t="inlineStr"/>
      <c r="R27" t="inlineStr">
        <is>
          <t>EUR</t>
        </is>
      </c>
      <c r="S27" t="n">
        <v>0.05170239596469105</v>
      </c>
      <c r="T27" t="n">
        <v>18.88189586716502</v>
      </c>
      <c r="U27" t="n">
        <v>0.002673137748489701</v>
      </c>
    </row>
    <row r="28">
      <c r="A28" t="inlineStr">
        <is>
          <t>ENEL</t>
        </is>
      </c>
      <c r="B28" t="n">
        <v>2019</v>
      </c>
      <c r="C28" t="inlineStr">
        <is>
          <t>Utilities</t>
        </is>
      </c>
      <c r="D28" t="inlineStr">
        <is>
          <t>ITA</t>
        </is>
      </c>
      <c r="E28" t="inlineStr">
        <is>
          <t>Italy</t>
        </is>
      </c>
      <c r="F28" t="inlineStr">
        <is>
          <t>GTM</t>
        </is>
      </c>
      <c r="G28" t="inlineStr">
        <is>
          <t>Guatemala</t>
        </is>
      </c>
      <c r="H28" t="n">
        <v>56700000</v>
      </c>
      <c r="I28" t="n">
        <v>7000000</v>
      </c>
      <c r="J28" t="n">
        <v>2000000</v>
      </c>
      <c r="K28" t="n">
        <v>86.7</v>
      </c>
      <c r="L28" t="inlineStr"/>
      <c r="M28" t="inlineStr"/>
      <c r="N28" t="inlineStr"/>
      <c r="O28" t="inlineStr"/>
      <c r="P28" t="inlineStr"/>
      <c r="Q28" t="inlineStr"/>
      <c r="R28" t="inlineStr">
        <is>
          <t>EUR</t>
        </is>
      </c>
      <c r="S28" t="n">
        <v>0.2857142857142857</v>
      </c>
      <c r="T28" t="n">
        <v>15.76142070701959</v>
      </c>
      <c r="U28" t="n">
        <v>0.08163265306122448</v>
      </c>
    </row>
    <row r="29">
      <c r="A29" t="inlineStr">
        <is>
          <t>ENEL</t>
        </is>
      </c>
      <c r="B29" t="n">
        <v>2020</v>
      </c>
      <c r="C29" t="inlineStr">
        <is>
          <t>Utilities</t>
        </is>
      </c>
      <c r="D29" t="inlineStr">
        <is>
          <t>ITA</t>
        </is>
      </c>
      <c r="E29" t="inlineStr">
        <is>
          <t>Italy</t>
        </is>
      </c>
      <c r="F29" t="inlineStr">
        <is>
          <t>ITA</t>
        </is>
      </c>
      <c r="G29" t="inlineStr">
        <is>
          <t>Italy</t>
        </is>
      </c>
      <c r="H29" t="n">
        <v>42320400000</v>
      </c>
      <c r="I29" t="n">
        <v>1532800000</v>
      </c>
      <c r="J29" t="n">
        <v>1025400000</v>
      </c>
      <c r="K29" t="n">
        <v>29777</v>
      </c>
      <c r="L29" t="n">
        <v>28235700000</v>
      </c>
      <c r="M29" t="n">
        <v>1038000000</v>
      </c>
      <c r="N29" t="n">
        <v>40231600000</v>
      </c>
      <c r="O29" t="n">
        <v>2088800000</v>
      </c>
      <c r="P29" t="inlineStr"/>
      <c r="Q29" t="inlineStr"/>
      <c r="R29" t="inlineStr">
        <is>
          <t>EUR</t>
        </is>
      </c>
      <c r="S29" t="n">
        <v>0.6689718162839249</v>
      </c>
      <c r="T29" t="n">
        <v>21.15036196518087</v>
      </c>
      <c r="U29" t="n">
        <v>0.4475232909822133</v>
      </c>
    </row>
    <row r="30">
      <c r="A30" t="inlineStr">
        <is>
          <t>ENEL</t>
        </is>
      </c>
      <c r="B30" t="n">
        <v>2020</v>
      </c>
      <c r="C30" t="inlineStr">
        <is>
          <t>Utilities</t>
        </is>
      </c>
      <c r="D30" t="inlineStr">
        <is>
          <t>ITA</t>
        </is>
      </c>
      <c r="E30" t="inlineStr">
        <is>
          <t>Italy</t>
        </is>
      </c>
      <c r="F30" t="inlineStr">
        <is>
          <t>ESP</t>
        </is>
      </c>
      <c r="G30" t="inlineStr">
        <is>
          <t>Spain</t>
        </is>
      </c>
      <c r="H30" t="n">
        <v>16793400000</v>
      </c>
      <c r="I30" t="n">
        <v>1637300000</v>
      </c>
      <c r="J30" t="n">
        <v>136200000</v>
      </c>
      <c r="K30" t="n">
        <v>9659</v>
      </c>
      <c r="L30" t="n">
        <v>22958200000</v>
      </c>
      <c r="M30" t="n">
        <v>120000000</v>
      </c>
      <c r="N30" t="n">
        <v>15761000000</v>
      </c>
      <c r="O30" t="n">
        <v>1032400000</v>
      </c>
      <c r="P30" t="inlineStr"/>
      <c r="Q30" t="inlineStr"/>
      <c r="R30" t="inlineStr">
        <is>
          <t>EUR</t>
        </is>
      </c>
      <c r="S30" t="n">
        <v>0.08318573260856288</v>
      </c>
      <c r="T30" t="n">
        <v>21.21631438060972</v>
      </c>
      <c r="U30" t="n">
        <v>0.006919866109623322</v>
      </c>
    </row>
    <row r="31">
      <c r="A31" t="inlineStr">
        <is>
          <t>ENEL</t>
        </is>
      </c>
      <c r="B31" t="n">
        <v>2020</v>
      </c>
      <c r="C31" t="inlineStr">
        <is>
          <t>Utilities</t>
        </is>
      </c>
      <c r="D31" t="inlineStr">
        <is>
          <t>ITA</t>
        </is>
      </c>
      <c r="E31" t="inlineStr">
        <is>
          <t>Italy</t>
        </is>
      </c>
      <c r="F31" t="inlineStr">
        <is>
          <t>RUS</t>
        </is>
      </c>
      <c r="G31" t="inlineStr">
        <is>
          <t>Russia</t>
        </is>
      </c>
      <c r="H31" t="n">
        <v>553100000</v>
      </c>
      <c r="I31" t="n">
        <v>52300000</v>
      </c>
      <c r="J31" t="n">
        <v>13200000</v>
      </c>
      <c r="K31" t="n">
        <v>1475</v>
      </c>
      <c r="L31" t="n">
        <v>606500000</v>
      </c>
      <c r="M31" t="n">
        <v>10700000</v>
      </c>
      <c r="N31" t="n">
        <v>547600000</v>
      </c>
      <c r="O31" t="n">
        <v>5500000</v>
      </c>
      <c r="P31" t="inlineStr"/>
      <c r="Q31" t="inlineStr"/>
      <c r="R31" t="inlineStr">
        <is>
          <t>EUR</t>
        </is>
      </c>
      <c r="S31" t="n">
        <v>0.2523900573613767</v>
      </c>
      <c r="T31" t="n">
        <v>17.77250692903515</v>
      </c>
      <c r="U31" t="n">
        <v>0.063700741054879</v>
      </c>
    </row>
    <row r="32">
      <c r="A32" t="inlineStr">
        <is>
          <t>ENEL</t>
        </is>
      </c>
      <c r="B32" t="n">
        <v>2020</v>
      </c>
      <c r="C32" t="inlineStr">
        <is>
          <t>Utilities</t>
        </is>
      </c>
      <c r="D32" t="inlineStr">
        <is>
          <t>ITA</t>
        </is>
      </c>
      <c r="E32" t="inlineStr">
        <is>
          <t>Italy</t>
        </is>
      </c>
      <c r="F32" t="inlineStr">
        <is>
          <t>ROU</t>
        </is>
      </c>
      <c r="G32" t="inlineStr">
        <is>
          <t>Romania</t>
        </is>
      </c>
      <c r="H32" t="n">
        <v>1406200000</v>
      </c>
      <c r="I32" t="n">
        <v>223300000</v>
      </c>
      <c r="J32" t="n">
        <v>21100000</v>
      </c>
      <c r="K32" t="n">
        <v>3248</v>
      </c>
      <c r="L32" t="n">
        <v>1993000000</v>
      </c>
      <c r="M32" t="n">
        <v>23800000</v>
      </c>
      <c r="N32" t="n">
        <v>1401300000</v>
      </c>
      <c r="O32" t="n">
        <v>4900000</v>
      </c>
      <c r="P32" t="inlineStr"/>
      <c r="Q32" t="inlineStr"/>
      <c r="R32" t="inlineStr">
        <is>
          <t>EUR</t>
        </is>
      </c>
      <c r="S32" t="n">
        <v>0.09449171518137035</v>
      </c>
      <c r="T32" t="n">
        <v>19.22402671681039</v>
      </c>
      <c r="U32" t="n">
        <v>0.008928684237917216</v>
      </c>
    </row>
    <row r="33">
      <c r="A33" t="inlineStr">
        <is>
          <t>ENEL</t>
        </is>
      </c>
      <c r="B33" t="n">
        <v>2020</v>
      </c>
      <c r="C33" t="inlineStr">
        <is>
          <t>Utilities</t>
        </is>
      </c>
      <c r="D33" t="inlineStr">
        <is>
          <t>ITA</t>
        </is>
      </c>
      <c r="E33" t="inlineStr">
        <is>
          <t>Italy</t>
        </is>
      </c>
      <c r="F33" t="inlineStr">
        <is>
          <t>NLD</t>
        </is>
      </c>
      <c r="G33" t="inlineStr">
        <is>
          <t>Netherlands</t>
        </is>
      </c>
      <c r="H33" t="n">
        <v>3740800000</v>
      </c>
      <c r="I33" t="n">
        <v>301400000</v>
      </c>
      <c r="J33" t="n">
        <v>43400000</v>
      </c>
      <c r="K33" t="n">
        <v>20</v>
      </c>
      <c r="L33" t="n">
        <v>100000</v>
      </c>
      <c r="M33" t="n">
        <v>75200000</v>
      </c>
      <c r="N33" t="n">
        <v>2209800000</v>
      </c>
      <c r="O33" t="n">
        <v>1531000000</v>
      </c>
      <c r="P33" t="inlineStr"/>
      <c r="Q33" t="inlineStr"/>
      <c r="R33" t="inlineStr">
        <is>
          <t>EUR</t>
        </is>
      </c>
      <c r="S33" t="n">
        <v>0.1439946914399469</v>
      </c>
      <c r="T33" t="n">
        <v>19.52394884415667</v>
      </c>
      <c r="U33" t="n">
        <v>0.02073447116288552</v>
      </c>
    </row>
    <row r="34">
      <c r="A34" t="inlineStr">
        <is>
          <t>ENEL</t>
        </is>
      </c>
      <c r="B34" t="n">
        <v>2020</v>
      </c>
      <c r="C34" t="inlineStr">
        <is>
          <t>Utilities</t>
        </is>
      </c>
      <c r="D34" t="inlineStr">
        <is>
          <t>ITA</t>
        </is>
      </c>
      <c r="E34" t="inlineStr">
        <is>
          <t>Italy</t>
        </is>
      </c>
      <c r="F34" t="inlineStr">
        <is>
          <t>OTHER</t>
        </is>
      </c>
      <c r="G34" t="inlineStr">
        <is>
          <t>USA and Canada</t>
        </is>
      </c>
      <c r="H34" t="n">
        <v>1295600000</v>
      </c>
      <c r="I34" t="n">
        <v>201600000</v>
      </c>
      <c r="J34" t="n">
        <v>3500000</v>
      </c>
      <c r="K34" t="n">
        <v>1306</v>
      </c>
      <c r="L34" t="n">
        <v>7305700000</v>
      </c>
      <c r="M34" t="n">
        <v>0</v>
      </c>
      <c r="N34" t="n">
        <v>1271000000</v>
      </c>
      <c r="O34" t="n">
        <v>24600000</v>
      </c>
      <c r="P34" t="inlineStr"/>
      <c r="Q34" t="inlineStr"/>
      <c r="R34" t="inlineStr">
        <is>
          <t>EUR</t>
        </is>
      </c>
      <c r="S34" t="n">
        <v>0.01736111111111111</v>
      </c>
      <c r="T34" t="n">
        <v>19.12179609416149</v>
      </c>
      <c r="U34" t="n">
        <v>0.0003014081790123457</v>
      </c>
    </row>
    <row r="35">
      <c r="A35" t="inlineStr">
        <is>
          <t>ENEL</t>
        </is>
      </c>
      <c r="B35" t="n">
        <v>2020</v>
      </c>
      <c r="C35" t="inlineStr">
        <is>
          <t>Utilities</t>
        </is>
      </c>
      <c r="D35" t="inlineStr">
        <is>
          <t>ITA</t>
        </is>
      </c>
      <c r="E35" t="inlineStr">
        <is>
          <t>Italy</t>
        </is>
      </c>
      <c r="F35" t="inlineStr">
        <is>
          <t>MEX</t>
        </is>
      </c>
      <c r="G35" t="inlineStr">
        <is>
          <t>Mexico</t>
        </is>
      </c>
      <c r="H35" t="n">
        <v>167600000</v>
      </c>
      <c r="I35" t="n">
        <v>32800000</v>
      </c>
      <c r="J35" t="n">
        <v>15400000</v>
      </c>
      <c r="K35" t="n">
        <v>333</v>
      </c>
      <c r="L35" t="n">
        <v>1207000000</v>
      </c>
      <c r="M35" t="n">
        <v>8700000</v>
      </c>
      <c r="N35" t="n">
        <v>164600000</v>
      </c>
      <c r="O35" t="n">
        <v>3000000</v>
      </c>
      <c r="P35" t="inlineStr"/>
      <c r="Q35" t="inlineStr"/>
      <c r="R35" t="inlineStr">
        <is>
          <t>EUR</t>
        </is>
      </c>
      <c r="S35" t="n">
        <v>0.4695121951219512</v>
      </c>
      <c r="T35" t="n">
        <v>17.30593907335437</v>
      </c>
      <c r="U35" t="n">
        <v>0.2204417013682332</v>
      </c>
    </row>
    <row r="36">
      <c r="A36" t="inlineStr">
        <is>
          <t>ENEL</t>
        </is>
      </c>
      <c r="B36" t="n">
        <v>2020</v>
      </c>
      <c r="C36" t="inlineStr">
        <is>
          <t>Utilities</t>
        </is>
      </c>
      <c r="D36" t="inlineStr">
        <is>
          <t>ITA</t>
        </is>
      </c>
      <c r="E36" t="inlineStr">
        <is>
          <t>Italy</t>
        </is>
      </c>
      <c r="F36" t="inlineStr">
        <is>
          <t>BRA</t>
        </is>
      </c>
      <c r="G36" t="inlineStr">
        <is>
          <t>Brazil</t>
        </is>
      </c>
      <c r="H36" t="n">
        <v>7337600000</v>
      </c>
      <c r="I36" t="n">
        <v>286700000</v>
      </c>
      <c r="J36" t="n">
        <v>141400000</v>
      </c>
      <c r="K36" t="n">
        <v>10137</v>
      </c>
      <c r="L36" t="n">
        <v>2602500000</v>
      </c>
      <c r="M36" t="n">
        <v>112400000</v>
      </c>
      <c r="N36" t="n">
        <v>7298100000</v>
      </c>
      <c r="O36" t="n">
        <v>39500000</v>
      </c>
      <c r="P36" t="inlineStr"/>
      <c r="Q36" t="inlineStr"/>
      <c r="R36" t="inlineStr">
        <is>
          <t>EUR</t>
        </is>
      </c>
      <c r="S36" t="n">
        <v>0.4931984652947332</v>
      </c>
      <c r="T36" t="n">
        <v>19.4739469308536</v>
      </c>
      <c r="U36" t="n">
        <v>0.2432447261690801</v>
      </c>
    </row>
    <row r="37">
      <c r="A37" t="inlineStr">
        <is>
          <t>ENEL</t>
        </is>
      </c>
      <c r="B37" t="n">
        <v>2020</v>
      </c>
      <c r="C37" t="inlineStr">
        <is>
          <t>Utilities</t>
        </is>
      </c>
      <c r="D37" t="inlineStr">
        <is>
          <t>ITA</t>
        </is>
      </c>
      <c r="E37" t="inlineStr">
        <is>
          <t>Italy</t>
        </is>
      </c>
      <c r="F37" t="inlineStr">
        <is>
          <t>COL</t>
        </is>
      </c>
      <c r="G37" t="inlineStr">
        <is>
          <t>Colombia</t>
        </is>
      </c>
      <c r="H37" t="n">
        <v>2086800000</v>
      </c>
      <c r="I37" t="n">
        <v>740100000</v>
      </c>
      <c r="J37" t="n">
        <v>233100000</v>
      </c>
      <c r="K37" t="n">
        <v>2191</v>
      </c>
      <c r="L37" t="n">
        <v>3652000000</v>
      </c>
      <c r="M37" t="n">
        <v>237400000</v>
      </c>
      <c r="N37" t="n">
        <v>2079700000</v>
      </c>
      <c r="O37" t="n">
        <v>7100000</v>
      </c>
      <c r="P37" t="inlineStr"/>
      <c r="Q37" t="inlineStr"/>
      <c r="R37" t="inlineStr">
        <is>
          <t>EUR</t>
        </is>
      </c>
      <c r="S37" t="n">
        <v>0.3149574381840292</v>
      </c>
      <c r="T37" t="n">
        <v>20.42229587016769</v>
      </c>
      <c r="U37" t="n">
        <v>0.09919818786744655</v>
      </c>
    </row>
    <row r="38">
      <c r="A38" t="inlineStr">
        <is>
          <t>ENEL</t>
        </is>
      </c>
      <c r="B38" t="n">
        <v>2020</v>
      </c>
      <c r="C38" t="inlineStr">
        <is>
          <t>Utilities</t>
        </is>
      </c>
      <c r="D38" t="inlineStr">
        <is>
          <t>ITA</t>
        </is>
      </c>
      <c r="E38" t="inlineStr">
        <is>
          <t>Italy</t>
        </is>
      </c>
      <c r="F38" t="inlineStr">
        <is>
          <t>ARG</t>
        </is>
      </c>
      <c r="G38" t="inlineStr">
        <is>
          <t>Argentina</t>
        </is>
      </c>
      <c r="H38" t="n">
        <v>1648900000</v>
      </c>
      <c r="I38" t="n">
        <v>140800000</v>
      </c>
      <c r="J38" t="n">
        <v>79600000</v>
      </c>
      <c r="K38" t="n">
        <v>4074</v>
      </c>
      <c r="L38" t="n">
        <v>1287700000</v>
      </c>
      <c r="M38" t="n">
        <v>52400000</v>
      </c>
      <c r="N38" t="n">
        <v>1586400000</v>
      </c>
      <c r="O38" t="n">
        <v>62500000</v>
      </c>
      <c r="P38" t="inlineStr"/>
      <c r="Q38" t="inlineStr"/>
      <c r="R38" t="inlineStr">
        <is>
          <t>EUR</t>
        </is>
      </c>
      <c r="S38" t="n">
        <v>0.5653409090909091</v>
      </c>
      <c r="T38" t="n">
        <v>18.76285100168822</v>
      </c>
      <c r="U38" t="n">
        <v>0.3196103434917355</v>
      </c>
    </row>
    <row r="39">
      <c r="A39" t="inlineStr">
        <is>
          <t>ENEL</t>
        </is>
      </c>
      <c r="B39" t="n">
        <v>2020</v>
      </c>
      <c r="C39" t="inlineStr">
        <is>
          <t>Utilities</t>
        </is>
      </c>
      <c r="D39" t="inlineStr">
        <is>
          <t>ITA</t>
        </is>
      </c>
      <c r="E39" t="inlineStr">
        <is>
          <t>Italy</t>
        </is>
      </c>
      <c r="F39" t="inlineStr">
        <is>
          <t>PER</t>
        </is>
      </c>
      <c r="G39" t="inlineStr">
        <is>
          <t>Peru</t>
        </is>
      </c>
      <c r="H39" t="n">
        <v>1171900000</v>
      </c>
      <c r="I39" t="n">
        <v>269000000</v>
      </c>
      <c r="J39" t="n">
        <v>79200000</v>
      </c>
      <c r="K39" t="n">
        <v>954</v>
      </c>
      <c r="L39" t="n">
        <v>2275900000</v>
      </c>
      <c r="M39" t="n">
        <v>96500000</v>
      </c>
      <c r="N39" t="n">
        <v>1171900000</v>
      </c>
      <c r="O39" t="n">
        <v>0</v>
      </c>
      <c r="P39" t="inlineStr"/>
      <c r="Q39" t="inlineStr"/>
      <c r="R39" t="inlineStr">
        <is>
          <t>EUR</t>
        </is>
      </c>
      <c r="S39" t="n">
        <v>0.2944237918215614</v>
      </c>
      <c r="T39" t="n">
        <v>19.41022193756611</v>
      </c>
      <c r="U39" t="n">
        <v>0.0866853691905861</v>
      </c>
    </row>
    <row r="40">
      <c r="A40" t="inlineStr">
        <is>
          <t>ENEL</t>
        </is>
      </c>
      <c r="B40" t="n">
        <v>2020</v>
      </c>
      <c r="C40" t="inlineStr">
        <is>
          <t>Utilities</t>
        </is>
      </c>
      <c r="D40" t="inlineStr">
        <is>
          <t>ITA</t>
        </is>
      </c>
      <c r="E40" t="inlineStr">
        <is>
          <t>Italy</t>
        </is>
      </c>
      <c r="F40" t="inlineStr">
        <is>
          <t>PAN</t>
        </is>
      </c>
      <c r="G40" t="inlineStr">
        <is>
          <t>Panama</t>
        </is>
      </c>
      <c r="H40" t="n">
        <v>137200000</v>
      </c>
      <c r="I40" t="n">
        <v>83400000</v>
      </c>
      <c r="J40" t="n">
        <v>15900000</v>
      </c>
      <c r="K40" t="n">
        <v>99</v>
      </c>
      <c r="L40" t="n">
        <v>339200000</v>
      </c>
      <c r="M40" t="n">
        <v>26900000</v>
      </c>
      <c r="N40" t="n">
        <v>136700000</v>
      </c>
      <c r="O40" t="n">
        <v>500000</v>
      </c>
      <c r="P40" t="inlineStr"/>
      <c r="Q40" t="inlineStr"/>
      <c r="R40" t="inlineStr">
        <is>
          <t>EUR</t>
        </is>
      </c>
      <c r="S40" t="n">
        <v>0.1906474820143885</v>
      </c>
      <c r="T40" t="n">
        <v>18.23915886732897</v>
      </c>
      <c r="U40" t="n">
        <v>0.03634646239842659</v>
      </c>
    </row>
    <row r="41">
      <c r="A41" t="inlineStr">
        <is>
          <t>ENEL</t>
        </is>
      </c>
      <c r="B41" t="n">
        <v>2020</v>
      </c>
      <c r="C41" t="inlineStr">
        <is>
          <t>Utilities</t>
        </is>
      </c>
      <c r="D41" t="inlineStr">
        <is>
          <t>ITA</t>
        </is>
      </c>
      <c r="E41" t="inlineStr">
        <is>
          <t>Italy</t>
        </is>
      </c>
      <c r="F41" t="inlineStr">
        <is>
          <t>GTM</t>
        </is>
      </c>
      <c r="G41" t="inlineStr">
        <is>
          <t>Guatemala</t>
        </is>
      </c>
      <c r="H41" t="n">
        <v>46100000</v>
      </c>
      <c r="I41" t="n">
        <v>16700000</v>
      </c>
      <c r="J41" t="n">
        <v>1900000</v>
      </c>
      <c r="K41" t="n">
        <v>86</v>
      </c>
      <c r="L41" t="n">
        <v>309800000</v>
      </c>
      <c r="M41" t="n">
        <v>2100000</v>
      </c>
      <c r="N41" t="n">
        <v>45200000</v>
      </c>
      <c r="O41" t="n">
        <v>900000</v>
      </c>
      <c r="P41" t="inlineStr"/>
      <c r="Q41" t="inlineStr"/>
      <c r="R41" t="inlineStr">
        <is>
          <t>EUR</t>
        </is>
      </c>
      <c r="S41" t="n">
        <v>0.1137724550898204</v>
      </c>
      <c r="T41" t="n">
        <v>16.63091927738698</v>
      </c>
      <c r="U41" t="n">
        <v>0.01294417153716519</v>
      </c>
    </row>
    <row r="42">
      <c r="A42" t="inlineStr">
        <is>
          <t>ENEL</t>
        </is>
      </c>
      <c r="B42" t="n">
        <v>2020</v>
      </c>
      <c r="C42" t="inlineStr">
        <is>
          <t>Utilities</t>
        </is>
      </c>
      <c r="D42" t="inlineStr">
        <is>
          <t>ITA</t>
        </is>
      </c>
      <c r="E42" t="inlineStr">
        <is>
          <t>Italy</t>
        </is>
      </c>
      <c r="F42" t="inlineStr">
        <is>
          <t>CRI</t>
        </is>
      </c>
      <c r="G42" t="inlineStr">
        <is>
          <t>Costa Rica</t>
        </is>
      </c>
      <c r="H42" t="n">
        <v>22300000</v>
      </c>
      <c r="I42" t="n">
        <v>5300000</v>
      </c>
      <c r="J42" t="n">
        <v>400000</v>
      </c>
      <c r="K42" t="n">
        <v>37</v>
      </c>
      <c r="L42" t="n">
        <v>145300000</v>
      </c>
      <c r="M42" t="n">
        <v>1300000</v>
      </c>
      <c r="N42" t="n">
        <v>21900000</v>
      </c>
      <c r="O42" t="n">
        <v>400000</v>
      </c>
      <c r="P42" t="inlineStr"/>
      <c r="Q42" t="inlineStr"/>
      <c r="R42" t="inlineStr">
        <is>
          <t>EUR</t>
        </is>
      </c>
      <c r="S42" t="n">
        <v>0.07547169811320754</v>
      </c>
      <c r="T42" t="n">
        <v>15.48321737852235</v>
      </c>
      <c r="U42" t="n">
        <v>0.005695977216091135</v>
      </c>
    </row>
    <row r="43">
      <c r="A43" t="inlineStr">
        <is>
          <t>ENEL</t>
        </is>
      </c>
      <c r="B43" t="n">
        <v>2020</v>
      </c>
      <c r="C43" t="inlineStr">
        <is>
          <t>Utilities</t>
        </is>
      </c>
      <c r="D43" t="inlineStr">
        <is>
          <t>ITA</t>
        </is>
      </c>
      <c r="E43" t="inlineStr">
        <is>
          <t>Italy</t>
        </is>
      </c>
      <c r="F43" t="inlineStr">
        <is>
          <t>BGR</t>
        </is>
      </c>
      <c r="G43" t="inlineStr">
        <is>
          <t>Bulgaria</t>
        </is>
      </c>
      <c r="H43" t="n">
        <v>9300000</v>
      </c>
      <c r="I43" t="n">
        <v>4100000</v>
      </c>
      <c r="J43" t="n">
        <v>400000</v>
      </c>
      <c r="K43" t="n">
        <v>6</v>
      </c>
      <c r="L43" t="n">
        <v>31400000</v>
      </c>
      <c r="M43" t="n">
        <v>400000</v>
      </c>
      <c r="N43" t="n">
        <v>9200000</v>
      </c>
      <c r="O43" t="n">
        <v>100000</v>
      </c>
      <c r="P43" t="inlineStr"/>
      <c r="Q43" t="inlineStr"/>
      <c r="R43" t="inlineStr">
        <is>
          <t>EUR</t>
        </is>
      </c>
      <c r="S43" t="n">
        <v>0.0975609756097561</v>
      </c>
      <c r="T43" t="n">
        <v>15.22649753167454</v>
      </c>
      <c r="U43" t="n">
        <v>0.009518143961927425</v>
      </c>
    </row>
    <row r="44">
      <c r="A44" t="inlineStr">
        <is>
          <t>ENEL</t>
        </is>
      </c>
      <c r="B44" t="n">
        <v>2020</v>
      </c>
      <c r="C44" t="inlineStr">
        <is>
          <t>Utilities</t>
        </is>
      </c>
      <c r="D44" t="inlineStr">
        <is>
          <t>ITA</t>
        </is>
      </c>
      <c r="E44" t="inlineStr">
        <is>
          <t>Italy</t>
        </is>
      </c>
      <c r="F44" t="inlineStr">
        <is>
          <t>FRA</t>
        </is>
      </c>
      <c r="G44" t="inlineStr">
        <is>
          <t>France</t>
        </is>
      </c>
      <c r="H44" t="n">
        <v>307700000</v>
      </c>
      <c r="I44" t="n">
        <v>6700000</v>
      </c>
      <c r="J44" t="n">
        <v>1600000</v>
      </c>
      <c r="K44" t="n">
        <v>57</v>
      </c>
      <c r="L44" t="n">
        <v>23000000</v>
      </c>
      <c r="M44" t="n">
        <v>100000</v>
      </c>
      <c r="N44" t="n">
        <v>277700000</v>
      </c>
      <c r="O44" t="n">
        <v>30000000</v>
      </c>
      <c r="P44" t="inlineStr"/>
      <c r="Q44" t="inlineStr"/>
      <c r="R44" t="inlineStr">
        <is>
          <t>EUR</t>
        </is>
      </c>
      <c r="S44" t="n">
        <v>0.2388059701492537</v>
      </c>
      <c r="T44" t="n">
        <v>15.7176180843612</v>
      </c>
      <c r="U44" t="n">
        <v>0.05702829137892626</v>
      </c>
    </row>
    <row r="45">
      <c r="A45" t="inlineStr">
        <is>
          <t>ENEL</t>
        </is>
      </c>
      <c r="B45" t="n">
        <v>2020</v>
      </c>
      <c r="C45" t="inlineStr">
        <is>
          <t>Utilities</t>
        </is>
      </c>
      <c r="D45" t="inlineStr">
        <is>
          <t>ITA</t>
        </is>
      </c>
      <c r="E45" t="inlineStr">
        <is>
          <t>Italy</t>
        </is>
      </c>
      <c r="F45" t="inlineStr">
        <is>
          <t>DEU</t>
        </is>
      </c>
      <c r="G45" t="inlineStr">
        <is>
          <t>Germany</t>
        </is>
      </c>
      <c r="H45" t="n">
        <v>260300000</v>
      </c>
      <c r="I45" t="n">
        <v>19900000</v>
      </c>
      <c r="J45" t="n">
        <v>300000</v>
      </c>
      <c r="K45" t="n">
        <v>23</v>
      </c>
      <c r="L45" t="n">
        <v>700000</v>
      </c>
      <c r="M45" t="n">
        <v>900000</v>
      </c>
      <c r="N45" t="n">
        <v>223200000</v>
      </c>
      <c r="O45" t="n">
        <v>37100000</v>
      </c>
      <c r="P45" t="inlineStr"/>
      <c r="Q45" t="inlineStr"/>
      <c r="R45" t="inlineStr">
        <is>
          <t>EUR</t>
        </is>
      </c>
      <c r="S45" t="n">
        <v>0.01507537688442211</v>
      </c>
      <c r="T45" t="n">
        <v>16.80623028969472</v>
      </c>
      <c r="U45" t="n">
        <v>0.0002272669882073685</v>
      </c>
    </row>
    <row r="46">
      <c r="A46" t="inlineStr">
        <is>
          <t>ENEL</t>
        </is>
      </c>
      <c r="B46" t="n">
        <v>2020</v>
      </c>
      <c r="C46" t="inlineStr">
        <is>
          <t>Utilities</t>
        </is>
      </c>
      <c r="D46" t="inlineStr">
        <is>
          <t>ITA</t>
        </is>
      </c>
      <c r="E46" t="inlineStr">
        <is>
          <t>Italy</t>
        </is>
      </c>
      <c r="F46" t="inlineStr">
        <is>
          <t>GRC</t>
        </is>
      </c>
      <c r="G46" t="inlineStr">
        <is>
          <t>Greece</t>
        </is>
      </c>
      <c r="H46" t="n">
        <v>115500000</v>
      </c>
      <c r="I46" t="n">
        <v>27900000</v>
      </c>
      <c r="J46" t="n">
        <v>300000</v>
      </c>
      <c r="K46" t="n">
        <v>114</v>
      </c>
      <c r="L46" t="n">
        <v>628800000</v>
      </c>
      <c r="M46" t="n">
        <v>6000000</v>
      </c>
      <c r="N46" t="n">
        <v>111900000</v>
      </c>
      <c r="O46" t="n">
        <v>3600000</v>
      </c>
      <c r="P46" t="inlineStr"/>
      <c r="Q46" t="inlineStr"/>
      <c r="R46" t="inlineStr">
        <is>
          <t>EUR</t>
        </is>
      </c>
      <c r="S46" t="n">
        <v>0.01075268817204301</v>
      </c>
      <c r="T46" t="n">
        <v>17.14413724679159</v>
      </c>
      <c r="U46" t="n">
        <v>0.0001156203029251937</v>
      </c>
    </row>
    <row r="47">
      <c r="A47" t="inlineStr">
        <is>
          <t>ENEL</t>
        </is>
      </c>
      <c r="B47" t="n">
        <v>2020</v>
      </c>
      <c r="C47" t="inlineStr">
        <is>
          <t>Utilities</t>
        </is>
      </c>
      <c r="D47" t="inlineStr">
        <is>
          <t>ITA</t>
        </is>
      </c>
      <c r="E47" t="inlineStr">
        <is>
          <t>Italy</t>
        </is>
      </c>
      <c r="F47" t="inlineStr">
        <is>
          <t>IRL</t>
        </is>
      </c>
      <c r="G47" t="inlineStr">
        <is>
          <t>Ireland</t>
        </is>
      </c>
      <c r="H47" t="n">
        <v>11900000</v>
      </c>
      <c r="I47" t="n">
        <v>1000000</v>
      </c>
      <c r="J47" t="n">
        <v>0</v>
      </c>
      <c r="K47" t="n">
        <v>52</v>
      </c>
      <c r="L47" t="n">
        <v>1600000</v>
      </c>
      <c r="M47" t="n">
        <v>0</v>
      </c>
      <c r="N47" t="n">
        <v>8900000</v>
      </c>
      <c r="O47" t="n">
        <v>3000000</v>
      </c>
      <c r="P47" t="inlineStr"/>
      <c r="Q47" t="inlineStr"/>
      <c r="R47" t="inlineStr">
        <is>
          <t>EUR</t>
        </is>
      </c>
      <c r="S47" t="n">
        <v>0</v>
      </c>
      <c r="T47" t="n">
        <v>13.81551055796427</v>
      </c>
      <c r="U47" t="n">
        <v>0</v>
      </c>
    </row>
    <row r="48">
      <c r="A48" t="inlineStr">
        <is>
          <t>ENEL</t>
        </is>
      </c>
      <c r="B48" t="n">
        <v>2020</v>
      </c>
      <c r="C48" t="inlineStr">
        <is>
          <t>Utilities</t>
        </is>
      </c>
      <c r="D48" t="inlineStr">
        <is>
          <t>ITA</t>
        </is>
      </c>
      <c r="E48" t="inlineStr">
        <is>
          <t>Italy</t>
        </is>
      </c>
      <c r="F48" t="inlineStr">
        <is>
          <t>PRT</t>
        </is>
      </c>
      <c r="G48" t="inlineStr">
        <is>
          <t>Portugal</t>
        </is>
      </c>
      <c r="H48" t="n">
        <v>1081200000</v>
      </c>
      <c r="I48" t="n">
        <v>63600000</v>
      </c>
      <c r="J48" t="n">
        <v>10600000</v>
      </c>
      <c r="K48" t="n">
        <v>61</v>
      </c>
      <c r="L48" t="n">
        <v>16500000</v>
      </c>
      <c r="M48" t="n">
        <v>9100000</v>
      </c>
      <c r="N48" t="n">
        <v>973100000</v>
      </c>
      <c r="O48" t="n">
        <v>108100000</v>
      </c>
      <c r="P48" t="inlineStr"/>
      <c r="Q48" t="inlineStr"/>
      <c r="R48" t="inlineStr">
        <is>
          <t>EUR</t>
        </is>
      </c>
      <c r="S48" t="n">
        <v>0.1666666666666667</v>
      </c>
      <c r="T48" t="n">
        <v>17.96812402831035</v>
      </c>
      <c r="U48" t="n">
        <v>0.02777777777777778</v>
      </c>
    </row>
    <row r="49">
      <c r="A49" t="inlineStr">
        <is>
          <t>ENEL</t>
        </is>
      </c>
      <c r="B49" t="n">
        <v>2020</v>
      </c>
      <c r="C49" t="inlineStr">
        <is>
          <t>Utilities</t>
        </is>
      </c>
      <c r="D49" t="inlineStr">
        <is>
          <t>ITA</t>
        </is>
      </c>
      <c r="E49" t="inlineStr">
        <is>
          <t>Italy</t>
        </is>
      </c>
      <c r="F49" t="inlineStr">
        <is>
          <t>TUR</t>
        </is>
      </c>
      <c r="G49" t="inlineStr">
        <is>
          <t>Turkey</t>
        </is>
      </c>
      <c r="H49" t="n">
        <v>2000000</v>
      </c>
      <c r="I49" t="n">
        <v>2400000</v>
      </c>
      <c r="J49" t="n">
        <v>0</v>
      </c>
      <c r="K49" t="n">
        <v>2</v>
      </c>
      <c r="L49" t="n">
        <v>100000</v>
      </c>
      <c r="M49" t="n">
        <v>0</v>
      </c>
      <c r="N49" t="n">
        <v>100000</v>
      </c>
      <c r="O49" t="n">
        <v>1900000</v>
      </c>
      <c r="P49" t="inlineStr"/>
      <c r="Q49" t="inlineStr"/>
      <c r="R49" t="inlineStr">
        <is>
          <t>EUR</t>
        </is>
      </c>
      <c r="S49" t="n">
        <v>0</v>
      </c>
      <c r="T49" t="n">
        <v>14.69097929531817</v>
      </c>
      <c r="U49" t="n">
        <v>0</v>
      </c>
    </row>
    <row r="50">
      <c r="A50" t="inlineStr">
        <is>
          <t>ENEL</t>
        </is>
      </c>
      <c r="B50" t="n">
        <v>2020</v>
      </c>
      <c r="C50" t="inlineStr">
        <is>
          <t>Utilities</t>
        </is>
      </c>
      <c r="D50" t="inlineStr">
        <is>
          <t>ITA</t>
        </is>
      </c>
      <c r="E50" t="inlineStr">
        <is>
          <t>Italy</t>
        </is>
      </c>
      <c r="F50" t="inlineStr">
        <is>
          <t>GBR</t>
        </is>
      </c>
      <c r="G50" t="inlineStr">
        <is>
          <t>United Kingdom</t>
        </is>
      </c>
      <c r="H50" t="n">
        <v>12100000</v>
      </c>
      <c r="I50" t="n">
        <v>1200000</v>
      </c>
      <c r="J50" t="n">
        <v>100000</v>
      </c>
      <c r="K50" t="n">
        <v>25</v>
      </c>
      <c r="L50" t="n">
        <v>9100000</v>
      </c>
      <c r="M50" t="n">
        <v>300000</v>
      </c>
      <c r="N50" t="n">
        <v>11100000</v>
      </c>
      <c r="O50" t="n">
        <v>1000000</v>
      </c>
      <c r="P50" t="inlineStr"/>
      <c r="Q50" t="inlineStr"/>
      <c r="R50" t="inlineStr">
        <is>
          <t>EUR</t>
        </is>
      </c>
      <c r="S50" t="n">
        <v>0.08333333333333333</v>
      </c>
      <c r="T50" t="n">
        <v>13.99783211475823</v>
      </c>
      <c r="U50" t="n">
        <v>0.006944444444444444</v>
      </c>
    </row>
    <row r="51">
      <c r="A51" t="inlineStr">
        <is>
          <t>ENEL</t>
        </is>
      </c>
      <c r="B51" t="n">
        <v>2020</v>
      </c>
      <c r="C51" t="inlineStr">
        <is>
          <t>Utilities</t>
        </is>
      </c>
      <c r="D51" t="inlineStr">
        <is>
          <t>ITA</t>
        </is>
      </c>
      <c r="E51" t="inlineStr">
        <is>
          <t>Italy</t>
        </is>
      </c>
      <c r="F51" t="inlineStr">
        <is>
          <t>MAR</t>
        </is>
      </c>
      <c r="G51" t="inlineStr">
        <is>
          <t>Morocco</t>
        </is>
      </c>
      <c r="H51" t="inlineStr"/>
      <c r="I51" t="n">
        <v>2000000</v>
      </c>
      <c r="J51" t="n">
        <v>800000</v>
      </c>
      <c r="K51" t="n">
        <v>31</v>
      </c>
      <c r="L51" t="n">
        <v>1200000</v>
      </c>
      <c r="M51" t="n">
        <v>700000</v>
      </c>
      <c r="N51" t="n">
        <v>5500000</v>
      </c>
      <c r="O51" t="inlineStr"/>
      <c r="P51" t="inlineStr"/>
      <c r="Q51" t="inlineStr"/>
      <c r="R51" t="inlineStr">
        <is>
          <t>EUR</t>
        </is>
      </c>
      <c r="S51" t="n">
        <v>0.4</v>
      </c>
      <c r="T51" t="n">
        <v>14.50865773852422</v>
      </c>
      <c r="U51" t="n">
        <v>0.16</v>
      </c>
    </row>
    <row r="52">
      <c r="A52" t="inlineStr">
        <is>
          <t>ENEL</t>
        </is>
      </c>
      <c r="B52" t="n">
        <v>2020</v>
      </c>
      <c r="C52" t="inlineStr">
        <is>
          <t>Utilities</t>
        </is>
      </c>
      <c r="D52" t="inlineStr">
        <is>
          <t>ITA</t>
        </is>
      </c>
      <c r="E52" t="inlineStr">
        <is>
          <t>Italy</t>
        </is>
      </c>
      <c r="F52" t="inlineStr">
        <is>
          <t>SGP</t>
        </is>
      </c>
      <c r="G52" t="inlineStr">
        <is>
          <t>Singapore</t>
        </is>
      </c>
      <c r="H52" t="n">
        <v>100000</v>
      </c>
      <c r="I52" t="n">
        <v>2700000</v>
      </c>
      <c r="J52" t="n">
        <v>0</v>
      </c>
      <c r="K52" t="n">
        <v>3</v>
      </c>
      <c r="L52" t="n">
        <v>200000</v>
      </c>
      <c r="M52" t="inlineStr"/>
      <c r="N52" t="n">
        <v>100000</v>
      </c>
      <c r="O52" t="n">
        <v>0</v>
      </c>
      <c r="P52" t="inlineStr"/>
      <c r="Q52" t="inlineStr"/>
      <c r="R52" t="inlineStr">
        <is>
          <t>EUR</t>
        </is>
      </c>
      <c r="S52" t="n">
        <v>0</v>
      </c>
      <c r="T52" t="n">
        <v>14.80876233097456</v>
      </c>
      <c r="U52" t="n">
        <v>0</v>
      </c>
    </row>
    <row r="53">
      <c r="A53" t="inlineStr">
        <is>
          <t>ENEL</t>
        </is>
      </c>
      <c r="B53" t="n">
        <v>2020</v>
      </c>
      <c r="C53" t="inlineStr">
        <is>
          <t>Utilities</t>
        </is>
      </c>
      <c r="D53" t="inlineStr">
        <is>
          <t>ITA</t>
        </is>
      </c>
      <c r="E53" t="inlineStr">
        <is>
          <t>Italy</t>
        </is>
      </c>
      <c r="F53" t="inlineStr">
        <is>
          <t>JPN</t>
        </is>
      </c>
      <c r="G53" t="inlineStr">
        <is>
          <t>Japan</t>
        </is>
      </c>
      <c r="H53" t="n">
        <v>8200000</v>
      </c>
      <c r="I53" t="n">
        <v>1000000</v>
      </c>
      <c r="J53" t="n">
        <v>0</v>
      </c>
      <c r="K53" t="n">
        <v>19</v>
      </c>
      <c r="L53" t="n">
        <v>300000</v>
      </c>
      <c r="M53" t="n">
        <v>0</v>
      </c>
      <c r="N53" t="n">
        <v>8000000</v>
      </c>
      <c r="O53" t="n">
        <v>200000</v>
      </c>
      <c r="P53" t="inlineStr"/>
      <c r="Q53" t="inlineStr"/>
      <c r="R53" t="inlineStr">
        <is>
          <t>EUR</t>
        </is>
      </c>
      <c r="S53" t="n">
        <v>0</v>
      </c>
      <c r="T53" t="n">
        <v>13.81551055796427</v>
      </c>
      <c r="U53" t="n">
        <v>0</v>
      </c>
    </row>
    <row r="54">
      <c r="A54" t="inlineStr">
        <is>
          <t>ENEL</t>
        </is>
      </c>
      <c r="B54" t="n">
        <v>2020</v>
      </c>
      <c r="C54" t="inlineStr">
        <is>
          <t>Utilities</t>
        </is>
      </c>
      <c r="D54" t="inlineStr">
        <is>
          <t>ITA</t>
        </is>
      </c>
      <c r="E54" t="inlineStr">
        <is>
          <t>Italy</t>
        </is>
      </c>
      <c r="F54" t="inlineStr">
        <is>
          <t>IND</t>
        </is>
      </c>
      <c r="G54" t="inlineStr">
        <is>
          <t>India</t>
        </is>
      </c>
      <c r="H54" t="n">
        <v>21000000</v>
      </c>
      <c r="I54" t="n">
        <v>3700000</v>
      </c>
      <c r="J54" t="n">
        <v>100000</v>
      </c>
      <c r="K54" t="n">
        <v>322</v>
      </c>
      <c r="L54" t="n">
        <v>116000000</v>
      </c>
      <c r="M54" t="inlineStr"/>
      <c r="N54" t="n">
        <v>15100000</v>
      </c>
      <c r="O54" t="n">
        <v>5900000</v>
      </c>
      <c r="P54" t="inlineStr"/>
      <c r="Q54" t="inlineStr"/>
      <c r="R54" t="inlineStr">
        <is>
          <t>EUR</t>
        </is>
      </c>
      <c r="S54" t="n">
        <v>0.02702702702702703</v>
      </c>
      <c r="T54" t="n">
        <v>15.12384337761445</v>
      </c>
      <c r="U54" t="n">
        <v>0.0007304601899196495</v>
      </c>
    </row>
    <row r="55">
      <c r="A55" t="inlineStr">
        <is>
          <t>ENEL</t>
        </is>
      </c>
      <c r="B55" t="n">
        <v>2021</v>
      </c>
      <c r="C55" t="inlineStr">
        <is>
          <t>Utilities</t>
        </is>
      </c>
      <c r="D55" t="inlineStr">
        <is>
          <t>ITA</t>
        </is>
      </c>
      <c r="E55" t="inlineStr">
        <is>
          <t>Italy</t>
        </is>
      </c>
      <c r="F55" t="inlineStr">
        <is>
          <t>GRC</t>
        </is>
      </c>
      <c r="G55" t="inlineStr">
        <is>
          <t>Greece</t>
        </is>
      </c>
      <c r="H55" t="n">
        <v>126400000</v>
      </c>
      <c r="I55" t="n">
        <v>30600000</v>
      </c>
      <c r="J55" t="n">
        <v>10200000</v>
      </c>
      <c r="K55" t="n">
        <v>112</v>
      </c>
      <c r="L55" t="n">
        <v>603900000</v>
      </c>
      <c r="M55" t="n">
        <v>9100000</v>
      </c>
      <c r="N55" t="n">
        <v>122900000</v>
      </c>
      <c r="O55" t="n">
        <v>3500000</v>
      </c>
      <c r="P55" t="n">
        <v>788500000</v>
      </c>
      <c r="Q55" t="n">
        <v>-178000000</v>
      </c>
      <c r="R55" t="inlineStr">
        <is>
          <t>EUR</t>
        </is>
      </c>
      <c r="S55" t="n">
        <v>0.3333333333333333</v>
      </c>
      <c r="T55" t="n">
        <v>17.23651056692261</v>
      </c>
      <c r="U55" t="n">
        <v>0.1111111111111111</v>
      </c>
    </row>
    <row r="56">
      <c r="A56" t="inlineStr">
        <is>
          <t>ENEL</t>
        </is>
      </c>
      <c r="B56" t="n">
        <v>2021</v>
      </c>
      <c r="C56" t="inlineStr">
        <is>
          <t>Utilities</t>
        </is>
      </c>
      <c r="D56" t="inlineStr">
        <is>
          <t>ITA</t>
        </is>
      </c>
      <c r="E56" t="inlineStr">
        <is>
          <t>Italy</t>
        </is>
      </c>
      <c r="F56" t="inlineStr">
        <is>
          <t>ITA</t>
        </is>
      </c>
      <c r="G56" t="inlineStr">
        <is>
          <t>Italy</t>
        </is>
      </c>
      <c r="H56" t="n">
        <v>53007400000</v>
      </c>
      <c r="I56" t="n">
        <v>2534500000</v>
      </c>
      <c r="J56" t="n">
        <v>763400000</v>
      </c>
      <c r="K56" t="n">
        <v>30256</v>
      </c>
      <c r="L56" t="n">
        <v>28781500000</v>
      </c>
      <c r="M56" t="n">
        <v>1107200000</v>
      </c>
      <c r="N56" t="n">
        <v>43767400000</v>
      </c>
      <c r="O56" t="n">
        <v>9240000000</v>
      </c>
      <c r="P56" t="n">
        <v>43051200000</v>
      </c>
      <c r="Q56" t="n">
        <v>22782700000</v>
      </c>
      <c r="R56" t="inlineStr">
        <is>
          <t>EUR</t>
        </is>
      </c>
      <c r="S56" t="n">
        <v>0.3012033931741961</v>
      </c>
      <c r="T56" t="n">
        <v>21.65326221587668</v>
      </c>
      <c r="U56" t="n">
        <v>0.09072348405964935</v>
      </c>
    </row>
    <row r="57">
      <c r="A57" t="inlineStr">
        <is>
          <t>ENEL</t>
        </is>
      </c>
      <c r="B57" t="n">
        <v>2021</v>
      </c>
      <c r="C57" t="inlineStr">
        <is>
          <t>Utilities</t>
        </is>
      </c>
      <c r="D57" t="inlineStr">
        <is>
          <t>ITA</t>
        </is>
      </c>
      <c r="E57" t="inlineStr">
        <is>
          <t>Italy</t>
        </is>
      </c>
      <c r="F57" t="inlineStr">
        <is>
          <t>PRT</t>
        </is>
      </c>
      <c r="G57" t="inlineStr">
        <is>
          <t>Portugal</t>
        </is>
      </c>
      <c r="H57" t="n">
        <v>1300300000</v>
      </c>
      <c r="I57" t="n">
        <v>36000000</v>
      </c>
      <c r="J57" t="n">
        <v>10100000</v>
      </c>
      <c r="K57" t="n">
        <v>74</v>
      </c>
      <c r="L57" t="n">
        <v>33600000</v>
      </c>
      <c r="M57" t="n">
        <v>4700000</v>
      </c>
      <c r="N57" t="n">
        <v>1088500000</v>
      </c>
      <c r="O57" t="n">
        <v>211800000</v>
      </c>
      <c r="P57" t="n">
        <v>400000</v>
      </c>
      <c r="Q57" t="n">
        <v>4900000</v>
      </c>
      <c r="R57" t="inlineStr">
        <is>
          <t>EUR</t>
        </is>
      </c>
      <c r="S57" t="n">
        <v>0.2805555555555556</v>
      </c>
      <c r="T57" t="n">
        <v>17.39902949642038</v>
      </c>
      <c r="U57" t="n">
        <v>0.07871141975308642</v>
      </c>
    </row>
    <row r="58">
      <c r="A58" t="inlineStr">
        <is>
          <t>ENEL</t>
        </is>
      </c>
      <c r="B58" t="n">
        <v>2021</v>
      </c>
      <c r="C58" t="inlineStr">
        <is>
          <t>Utilities</t>
        </is>
      </c>
      <c r="D58" t="inlineStr">
        <is>
          <t>ITA</t>
        </is>
      </c>
      <c r="E58" t="inlineStr">
        <is>
          <t>Italy</t>
        </is>
      </c>
      <c r="F58" t="inlineStr">
        <is>
          <t>RUS</t>
        </is>
      </c>
      <c r="G58" t="inlineStr">
        <is>
          <t>Russia</t>
        </is>
      </c>
      <c r="H58" t="n">
        <v>576500000</v>
      </c>
      <c r="I58" t="n">
        <v>39100000</v>
      </c>
      <c r="J58" t="n">
        <v>5400000</v>
      </c>
      <c r="K58" t="n">
        <v>1465</v>
      </c>
      <c r="L58" t="n">
        <v>851000000</v>
      </c>
      <c r="M58" t="n">
        <v>0</v>
      </c>
      <c r="N58" t="n">
        <v>570200000</v>
      </c>
      <c r="O58" t="n">
        <v>6300000</v>
      </c>
      <c r="P58" t="n">
        <v>996900000</v>
      </c>
      <c r="Q58" t="n">
        <v>331300000</v>
      </c>
      <c r="R58" t="inlineStr">
        <is>
          <t>EUR</t>
        </is>
      </c>
      <c r="S58" t="n">
        <v>0.1381074168797954</v>
      </c>
      <c r="T58" t="n">
        <v>17.4816330249556</v>
      </c>
      <c r="U58" t="n">
        <v>0.01907365859720959</v>
      </c>
    </row>
    <row r="59">
      <c r="A59" t="inlineStr">
        <is>
          <t>ENEL</t>
        </is>
      </c>
      <c r="B59" t="n">
        <v>2021</v>
      </c>
      <c r="C59" t="inlineStr">
        <is>
          <t>Utilities</t>
        </is>
      </c>
      <c r="D59" t="inlineStr">
        <is>
          <t>ITA</t>
        </is>
      </c>
      <c r="E59" t="inlineStr">
        <is>
          <t>Italy</t>
        </is>
      </c>
      <c r="F59" t="inlineStr">
        <is>
          <t>ESP</t>
        </is>
      </c>
      <c r="G59" t="inlineStr">
        <is>
          <t>Spain</t>
        </is>
      </c>
      <c r="H59" t="n">
        <v>30341500000</v>
      </c>
      <c r="I59" t="n">
        <v>2368500000</v>
      </c>
      <c r="J59" t="n">
        <v>159900000</v>
      </c>
      <c r="K59" t="n">
        <v>9376</v>
      </c>
      <c r="L59" t="n">
        <v>24142500000</v>
      </c>
      <c r="M59" t="n">
        <v>227000000</v>
      </c>
      <c r="N59" t="n">
        <v>25415000000</v>
      </c>
      <c r="O59" t="n">
        <v>4926500000</v>
      </c>
      <c r="P59" t="n">
        <v>20934500000</v>
      </c>
      <c r="Q59" t="n">
        <v>31937900000</v>
      </c>
      <c r="R59" t="inlineStr">
        <is>
          <t>EUR</t>
        </is>
      </c>
      <c r="S59" t="n">
        <v>0.06751108296390121</v>
      </c>
      <c r="T59" t="n">
        <v>21.58552268032808</v>
      </c>
      <c r="U59" t="n">
        <v>0.004557746322958752</v>
      </c>
    </row>
    <row r="60">
      <c r="A60" t="inlineStr">
        <is>
          <t>ENEL</t>
        </is>
      </c>
      <c r="B60" t="n">
        <v>2021</v>
      </c>
      <c r="C60" t="inlineStr">
        <is>
          <t>Utilities</t>
        </is>
      </c>
      <c r="D60" t="inlineStr">
        <is>
          <t>ITA</t>
        </is>
      </c>
      <c r="E60" t="inlineStr">
        <is>
          <t>Italy</t>
        </is>
      </c>
      <c r="F60" t="inlineStr">
        <is>
          <t>OTHER</t>
        </is>
      </c>
      <c r="G60" t="inlineStr">
        <is>
          <t>USA and Canada</t>
        </is>
      </c>
      <c r="H60" t="n">
        <v>1477500000</v>
      </c>
      <c r="I60" t="n">
        <v>124800000</v>
      </c>
      <c r="J60" t="n">
        <v>1400000</v>
      </c>
      <c r="K60" t="n">
        <v>1558</v>
      </c>
      <c r="L60" t="n">
        <v>10069500000</v>
      </c>
      <c r="M60" t="n">
        <v>-6300000</v>
      </c>
      <c r="N60" t="n">
        <v>1457600000</v>
      </c>
      <c r="O60" t="n">
        <v>19900000</v>
      </c>
      <c r="P60" t="n">
        <v>15798600000</v>
      </c>
      <c r="Q60" t="n">
        <v>937900000</v>
      </c>
      <c r="R60" t="inlineStr">
        <is>
          <t>EUR</t>
        </is>
      </c>
      <c r="S60" t="n">
        <v>0.01121794871794872</v>
      </c>
      <c r="T60" t="n">
        <v>18.6422230138996</v>
      </c>
      <c r="U60" t="n">
        <v>0.0001258423734385273</v>
      </c>
    </row>
    <row r="61">
      <c r="A61" t="inlineStr">
        <is>
          <t>ENEL</t>
        </is>
      </c>
      <c r="B61" t="n">
        <v>2021</v>
      </c>
      <c r="C61" t="inlineStr">
        <is>
          <t>Utilities</t>
        </is>
      </c>
      <c r="D61" t="inlineStr">
        <is>
          <t>ITA</t>
        </is>
      </c>
      <c r="E61" t="inlineStr">
        <is>
          <t>Italy</t>
        </is>
      </c>
      <c r="F61" t="inlineStr">
        <is>
          <t>BRA</t>
        </is>
      </c>
      <c r="G61" t="inlineStr">
        <is>
          <t>Brazil</t>
        </is>
      </c>
      <c r="H61" t="n">
        <v>9929400000</v>
      </c>
      <c r="I61" t="n">
        <v>498800000</v>
      </c>
      <c r="J61" t="n">
        <v>199200000</v>
      </c>
      <c r="K61" t="n">
        <v>8966</v>
      </c>
      <c r="L61" t="n">
        <v>3328800000</v>
      </c>
      <c r="M61" t="n">
        <v>159800000</v>
      </c>
      <c r="N61" t="n">
        <v>9905700000</v>
      </c>
      <c r="O61" t="n">
        <v>23700000</v>
      </c>
      <c r="P61" t="n">
        <v>10842700000</v>
      </c>
      <c r="Q61" t="n">
        <v>2129700000</v>
      </c>
      <c r="R61" t="inlineStr">
        <is>
          <t>EUR</t>
        </is>
      </c>
      <c r="S61" t="n">
        <v>0.3993584603047314</v>
      </c>
      <c r="T61" t="n">
        <v>20.02771577177015</v>
      </c>
      <c r="U61" t="n">
        <v>0.1594871798169657</v>
      </c>
    </row>
    <row r="62">
      <c r="A62" t="inlineStr">
        <is>
          <t>ENEL</t>
        </is>
      </c>
      <c r="B62" t="n">
        <v>2021</v>
      </c>
      <c r="C62" t="inlineStr">
        <is>
          <t>Utilities</t>
        </is>
      </c>
      <c r="D62" t="inlineStr">
        <is>
          <t>ITA</t>
        </is>
      </c>
      <c r="E62" t="inlineStr">
        <is>
          <t>Italy</t>
        </is>
      </c>
      <c r="F62" t="inlineStr">
        <is>
          <t>COL</t>
        </is>
      </c>
      <c r="G62" t="inlineStr">
        <is>
          <t>Colombia</t>
        </is>
      </c>
      <c r="H62" t="n">
        <v>2248400000</v>
      </c>
      <c r="I62" t="n">
        <v>875400000</v>
      </c>
      <c r="J62" t="n">
        <v>249200000</v>
      </c>
      <c r="K62" t="n">
        <v>2256</v>
      </c>
      <c r="L62" t="n">
        <v>3675100000</v>
      </c>
      <c r="M62" t="n">
        <v>261400000</v>
      </c>
      <c r="N62" t="n">
        <v>2247200000</v>
      </c>
      <c r="O62" t="n">
        <v>1200000</v>
      </c>
      <c r="P62" t="n">
        <v>512400000</v>
      </c>
      <c r="Q62" t="n">
        <v>1938400000</v>
      </c>
      <c r="R62" t="inlineStr">
        <is>
          <t>EUR</t>
        </is>
      </c>
      <c r="S62" t="n">
        <v>0.284669865204478</v>
      </c>
      <c r="T62" t="n">
        <v>20.59019148272107</v>
      </c>
      <c r="U62" t="n">
        <v>0.08103693215553565</v>
      </c>
    </row>
    <row r="63">
      <c r="A63" t="inlineStr">
        <is>
          <t>ENEL</t>
        </is>
      </c>
      <c r="B63" t="n">
        <v>2021</v>
      </c>
      <c r="C63" t="inlineStr">
        <is>
          <t>Utilities</t>
        </is>
      </c>
      <c r="D63" t="inlineStr">
        <is>
          <t>ITA</t>
        </is>
      </c>
      <c r="E63" t="inlineStr">
        <is>
          <t>Italy</t>
        </is>
      </c>
      <c r="F63" t="inlineStr">
        <is>
          <t>GTM</t>
        </is>
      </c>
      <c r="G63" t="inlineStr">
        <is>
          <t>Guatemala</t>
        </is>
      </c>
      <c r="H63" t="n">
        <v>79000000</v>
      </c>
      <c r="I63" t="n">
        <v>25000000</v>
      </c>
      <c r="J63" t="n">
        <v>2300000</v>
      </c>
      <c r="K63" t="n">
        <v>94</v>
      </c>
      <c r="L63" t="n">
        <v>340000000</v>
      </c>
      <c r="M63" t="n">
        <v>2300000</v>
      </c>
      <c r="N63" t="n">
        <v>78800000</v>
      </c>
      <c r="O63" t="n">
        <v>200000</v>
      </c>
      <c r="P63" t="n">
        <v>248900000</v>
      </c>
      <c r="Q63" t="n">
        <v>189600000</v>
      </c>
      <c r="R63" t="inlineStr">
        <is>
          <t>EUR</t>
        </is>
      </c>
      <c r="S63" t="n">
        <v>0.092</v>
      </c>
      <c r="T63" t="n">
        <v>17.03438638283248</v>
      </c>
      <c r="U63" t="n">
        <v>0.008463999999999999</v>
      </c>
    </row>
    <row r="64">
      <c r="A64" t="inlineStr">
        <is>
          <t>ENEL</t>
        </is>
      </c>
      <c r="B64" t="n">
        <v>2021</v>
      </c>
      <c r="C64" t="inlineStr">
        <is>
          <t>Utilities</t>
        </is>
      </c>
      <c r="D64" t="inlineStr">
        <is>
          <t>ITA</t>
        </is>
      </c>
      <c r="E64" t="inlineStr">
        <is>
          <t>Italy</t>
        </is>
      </c>
      <c r="F64" t="inlineStr">
        <is>
          <t>PAN</t>
        </is>
      </c>
      <c r="G64" t="inlineStr">
        <is>
          <t>Panama</t>
        </is>
      </c>
      <c r="H64" t="n">
        <v>154700000</v>
      </c>
      <c r="I64" t="n">
        <v>108900000</v>
      </c>
      <c r="J64" t="n">
        <v>26900000</v>
      </c>
      <c r="K64" t="n">
        <v>94</v>
      </c>
      <c r="L64" t="n">
        <v>389300000</v>
      </c>
      <c r="M64" t="n">
        <v>37900000</v>
      </c>
      <c r="N64" t="n">
        <v>154400000</v>
      </c>
      <c r="O64" t="n">
        <v>300000</v>
      </c>
      <c r="P64" t="n">
        <v>372200000</v>
      </c>
      <c r="Q64" t="n">
        <v>173600000</v>
      </c>
      <c r="R64" t="inlineStr">
        <is>
          <t>EUR</t>
        </is>
      </c>
      <c r="S64" t="n">
        <v>0.2470156106519743</v>
      </c>
      <c r="T64" t="n">
        <v>18.50594058790319</v>
      </c>
      <c r="U64" t="n">
        <v>0.06101671190576775</v>
      </c>
    </row>
    <row r="65">
      <c r="A65" t="inlineStr">
        <is>
          <t>ENEL</t>
        </is>
      </c>
      <c r="B65" t="n">
        <v>2021</v>
      </c>
      <c r="C65" t="inlineStr">
        <is>
          <t>Utilities</t>
        </is>
      </c>
      <c r="D65" t="inlineStr">
        <is>
          <t>ITA</t>
        </is>
      </c>
      <c r="E65" t="inlineStr">
        <is>
          <t>Italy</t>
        </is>
      </c>
      <c r="F65" t="inlineStr">
        <is>
          <t>PER</t>
        </is>
      </c>
      <c r="G65" t="inlineStr">
        <is>
          <t>Peru</t>
        </is>
      </c>
      <c r="H65" t="n">
        <v>1179700000</v>
      </c>
      <c r="I65" t="n">
        <v>302100000</v>
      </c>
      <c r="J65" t="n">
        <v>106100000</v>
      </c>
      <c r="K65" t="n">
        <v>988</v>
      </c>
      <c r="L65" t="n">
        <v>2341400000</v>
      </c>
      <c r="M65" t="n">
        <v>89500000</v>
      </c>
      <c r="N65" t="n">
        <v>1179700000</v>
      </c>
      <c r="O65" t="n">
        <v>0</v>
      </c>
      <c r="P65" t="n">
        <v>2261000000</v>
      </c>
      <c r="Q65" t="n">
        <v>216100000</v>
      </c>
      <c r="R65" t="inlineStr">
        <is>
          <t>EUR</t>
        </is>
      </c>
      <c r="S65" t="n">
        <v>0.3512082092022509</v>
      </c>
      <c r="T65" t="n">
        <v>19.5262686463569</v>
      </c>
      <c r="U65" t="n">
        <v>0.1233472062110521</v>
      </c>
    </row>
    <row r="66">
      <c r="A66" t="inlineStr">
        <is>
          <t>ENEL</t>
        </is>
      </c>
      <c r="B66" t="n">
        <v>2021</v>
      </c>
      <c r="C66" t="inlineStr">
        <is>
          <t>Utilities</t>
        </is>
      </c>
      <c r="D66" t="inlineStr">
        <is>
          <t>ITA</t>
        </is>
      </c>
      <c r="E66" t="inlineStr">
        <is>
          <t>Italy</t>
        </is>
      </c>
      <c r="F66" t="inlineStr">
        <is>
          <t>IRL</t>
        </is>
      </c>
      <c r="G66" t="inlineStr">
        <is>
          <t>Ireland</t>
        </is>
      </c>
      <c r="H66" t="n">
        <v>13200000</v>
      </c>
      <c r="I66" t="n">
        <v>700000</v>
      </c>
      <c r="J66" t="n">
        <v>0</v>
      </c>
      <c r="K66" t="n">
        <v>51</v>
      </c>
      <c r="L66" t="n">
        <v>900000</v>
      </c>
      <c r="M66" t="inlineStr"/>
      <c r="N66" t="n">
        <v>9500000</v>
      </c>
      <c r="O66" t="n">
        <v>3700000</v>
      </c>
      <c r="P66" t="n">
        <v>2900000</v>
      </c>
      <c r="Q66" t="n">
        <v>22200000</v>
      </c>
      <c r="R66" t="inlineStr">
        <is>
          <t>EUR</t>
        </is>
      </c>
      <c r="S66" t="n">
        <v>0</v>
      </c>
      <c r="T66" t="n">
        <v>13.45883561402554</v>
      </c>
      <c r="U66" t="n">
        <v>0</v>
      </c>
    </row>
    <row r="67">
      <c r="A67" t="inlineStr">
        <is>
          <t>ENEL</t>
        </is>
      </c>
      <c r="B67" t="n">
        <v>2021</v>
      </c>
      <c r="C67" t="inlineStr">
        <is>
          <t>Utilities</t>
        </is>
      </c>
      <c r="D67" t="inlineStr">
        <is>
          <t>ITA</t>
        </is>
      </c>
      <c r="E67" t="inlineStr">
        <is>
          <t>Italy</t>
        </is>
      </c>
      <c r="F67" t="inlineStr">
        <is>
          <t>URY</t>
        </is>
      </c>
      <c r="G67" t="inlineStr">
        <is>
          <t>Uruguay</t>
        </is>
      </c>
      <c r="H67" t="n">
        <v>1600000</v>
      </c>
      <c r="I67" t="n">
        <v>1200000</v>
      </c>
      <c r="J67" t="n">
        <v>0</v>
      </c>
      <c r="K67" t="n">
        <v>1</v>
      </c>
      <c r="L67" t="n">
        <v>0</v>
      </c>
      <c r="M67" t="n">
        <v>100000</v>
      </c>
      <c r="N67" t="n">
        <v>1600000</v>
      </c>
      <c r="O67" t="n">
        <v>0</v>
      </c>
      <c r="P67" t="n">
        <v>0</v>
      </c>
      <c r="Q67" t="n">
        <v>-800000</v>
      </c>
      <c r="R67" t="inlineStr">
        <is>
          <t>EUR</t>
        </is>
      </c>
      <c r="S67" t="n">
        <v>0</v>
      </c>
      <c r="T67" t="n">
        <v>13.99783211475823</v>
      </c>
      <c r="U67" t="n">
        <v>0</v>
      </c>
    </row>
    <row r="68">
      <c r="A68" t="inlineStr">
        <is>
          <t>ENEL</t>
        </is>
      </c>
      <c r="B68" t="n">
        <v>2021</v>
      </c>
      <c r="C68" t="inlineStr">
        <is>
          <t>Utilities</t>
        </is>
      </c>
      <c r="D68" t="inlineStr">
        <is>
          <t>ITA</t>
        </is>
      </c>
      <c r="E68" t="inlineStr">
        <is>
          <t>Italy</t>
        </is>
      </c>
      <c r="F68" t="inlineStr">
        <is>
          <t>NZL</t>
        </is>
      </c>
      <c r="G68" t="inlineStr">
        <is>
          <t>New Zealand</t>
        </is>
      </c>
      <c r="H68" t="n">
        <v>6500000</v>
      </c>
      <c r="I68" t="n">
        <v>400000</v>
      </c>
      <c r="J68" t="n">
        <v>300000</v>
      </c>
      <c r="K68" t="n">
        <v>5</v>
      </c>
      <c r="L68" t="n">
        <v>100000</v>
      </c>
      <c r="M68" t="n">
        <v>100000</v>
      </c>
      <c r="N68" t="n">
        <v>6000000</v>
      </c>
      <c r="O68" t="n">
        <v>500000</v>
      </c>
      <c r="P68" t="n">
        <v>2000000</v>
      </c>
      <c r="Q68" t="n">
        <v>-600000</v>
      </c>
      <c r="R68" t="inlineStr">
        <is>
          <t>EUR</t>
        </is>
      </c>
      <c r="S68" t="n">
        <v>0.75</v>
      </c>
      <c r="T68" t="n">
        <v>12.89921982609012</v>
      </c>
      <c r="U68" t="n">
        <v>0.5625</v>
      </c>
    </row>
    <row r="69">
      <c r="A69" t="inlineStr">
        <is>
          <t>ERG</t>
        </is>
      </c>
      <c r="B69" t="n">
        <v>2020</v>
      </c>
      <c r="C69" t="inlineStr">
        <is>
          <t>Utilities</t>
        </is>
      </c>
      <c r="D69" t="inlineStr">
        <is>
          <t>ITA</t>
        </is>
      </c>
      <c r="E69" t="inlineStr">
        <is>
          <t>Italy</t>
        </is>
      </c>
      <c r="F69" t="inlineStr">
        <is>
          <t>ITA</t>
        </is>
      </c>
      <c r="G69" t="inlineStr">
        <is>
          <t>Italy</t>
        </is>
      </c>
      <c r="H69" t="n">
        <v>800000000</v>
      </c>
      <c r="I69" t="n">
        <v>108000000</v>
      </c>
      <c r="J69" t="n">
        <v>20500000</v>
      </c>
      <c r="K69" t="n">
        <v>685</v>
      </c>
      <c r="L69" t="n">
        <v>1464000000</v>
      </c>
      <c r="M69" t="n">
        <v>35300000</v>
      </c>
      <c r="N69" t="n">
        <v>799000000</v>
      </c>
      <c r="O69" t="n">
        <v>1000000</v>
      </c>
      <c r="P69" t="inlineStr"/>
      <c r="Q69" t="inlineStr"/>
      <c r="R69" t="inlineStr">
        <is>
          <t>EUR</t>
        </is>
      </c>
      <c r="S69" t="n">
        <v>0.1898148148148148</v>
      </c>
      <c r="T69" t="n">
        <v>18.49764178508849</v>
      </c>
      <c r="U69" t="n">
        <v>0.03602966392318244</v>
      </c>
    </row>
    <row r="70">
      <c r="A70" t="inlineStr">
        <is>
          <t>ERG</t>
        </is>
      </c>
      <c r="B70" t="n">
        <v>2020</v>
      </c>
      <c r="C70" t="inlineStr">
        <is>
          <t>Utilities</t>
        </is>
      </c>
      <c r="D70" t="inlineStr">
        <is>
          <t>ITA</t>
        </is>
      </c>
      <c r="E70" t="inlineStr">
        <is>
          <t>Italy</t>
        </is>
      </c>
      <c r="F70" t="inlineStr">
        <is>
          <t>POL</t>
        </is>
      </c>
      <c r="G70" t="inlineStr">
        <is>
          <t>Poland</t>
        </is>
      </c>
      <c r="H70" t="inlineStr"/>
      <c r="I70" t="n">
        <v>5000000</v>
      </c>
      <c r="J70" t="n">
        <v>300000</v>
      </c>
      <c r="K70" t="n">
        <v>5</v>
      </c>
      <c r="L70" t="n">
        <v>96000000</v>
      </c>
      <c r="M70" t="n">
        <v>100000</v>
      </c>
      <c r="N70" t="n">
        <v>19000000</v>
      </c>
      <c r="O70" t="inlineStr"/>
      <c r="P70" t="inlineStr"/>
      <c r="Q70" t="inlineStr"/>
      <c r="R70" t="inlineStr">
        <is>
          <t>EUR</t>
        </is>
      </c>
      <c r="S70" t="n">
        <v>0.06</v>
      </c>
      <c r="T70" t="n">
        <v>15.42494847039838</v>
      </c>
      <c r="U70" t="n">
        <v>0.0036</v>
      </c>
    </row>
    <row r="71">
      <c r="A71" t="inlineStr">
        <is>
          <t>ERG</t>
        </is>
      </c>
      <c r="B71" t="n">
        <v>2020</v>
      </c>
      <c r="C71" t="inlineStr">
        <is>
          <t>Utilities</t>
        </is>
      </c>
      <c r="D71" t="inlineStr">
        <is>
          <t>ITA</t>
        </is>
      </c>
      <c r="E71" t="inlineStr">
        <is>
          <t>Italy</t>
        </is>
      </c>
      <c r="F71" t="inlineStr">
        <is>
          <t>BGR</t>
        </is>
      </c>
      <c r="G71" t="inlineStr">
        <is>
          <t>Bulgaria</t>
        </is>
      </c>
      <c r="H71" t="inlineStr"/>
      <c r="I71" t="n">
        <v>4000000</v>
      </c>
      <c r="J71" t="n">
        <v>200000</v>
      </c>
      <c r="K71" t="n">
        <v>1</v>
      </c>
      <c r="L71" t="n">
        <v>35000000</v>
      </c>
      <c r="M71" t="n">
        <v>400000</v>
      </c>
      <c r="N71" t="n">
        <v>13000000</v>
      </c>
      <c r="O71" t="inlineStr"/>
      <c r="P71" t="inlineStr"/>
      <c r="Q71" t="inlineStr"/>
      <c r="R71" t="inlineStr">
        <is>
          <t>EUR</t>
        </is>
      </c>
      <c r="S71" t="n">
        <v>0.05</v>
      </c>
      <c r="T71" t="n">
        <v>15.20180491908416</v>
      </c>
      <c r="U71" t="n">
        <v>0.0025</v>
      </c>
    </row>
    <row r="72">
      <c r="A72" t="inlineStr">
        <is>
          <t>ERG</t>
        </is>
      </c>
      <c r="B72" t="n">
        <v>2021</v>
      </c>
      <c r="C72" t="inlineStr">
        <is>
          <t>Utilities</t>
        </is>
      </c>
      <c r="D72" t="inlineStr">
        <is>
          <t>ITA</t>
        </is>
      </c>
      <c r="E72" t="inlineStr">
        <is>
          <t>Italy</t>
        </is>
      </c>
      <c r="F72" t="inlineStr">
        <is>
          <t>ITA</t>
        </is>
      </c>
      <c r="G72" t="inlineStr">
        <is>
          <t>Italy</t>
        </is>
      </c>
      <c r="H72" t="inlineStr"/>
      <c r="I72" t="n">
        <v>144000000</v>
      </c>
      <c r="J72" t="n">
        <v>35000000</v>
      </c>
      <c r="K72" t="n">
        <v>688</v>
      </c>
      <c r="L72" t="n">
        <v>1402000000</v>
      </c>
      <c r="M72" t="n">
        <v>71000000</v>
      </c>
      <c r="N72" t="n">
        <v>1032000000</v>
      </c>
      <c r="O72" t="inlineStr"/>
      <c r="P72" t="inlineStr"/>
      <c r="Q72" t="inlineStr"/>
      <c r="R72" t="inlineStr">
        <is>
          <t>EUR</t>
        </is>
      </c>
      <c r="S72" t="n">
        <v>0.2430555555555556</v>
      </c>
      <c r="T72" t="n">
        <v>18.78532385754027</v>
      </c>
      <c r="U72" t="n">
        <v>0.05907600308641975</v>
      </c>
    </row>
    <row r="73">
      <c r="A73" t="inlineStr">
        <is>
          <t>ERG</t>
        </is>
      </c>
      <c r="B73" t="n">
        <v>2021</v>
      </c>
      <c r="C73" t="inlineStr">
        <is>
          <t>Utilities</t>
        </is>
      </c>
      <c r="D73" t="inlineStr">
        <is>
          <t>ITA</t>
        </is>
      </c>
      <c r="E73" t="inlineStr">
        <is>
          <t>Italy</t>
        </is>
      </c>
      <c r="F73" t="inlineStr">
        <is>
          <t>POL</t>
        </is>
      </c>
      <c r="G73" t="inlineStr">
        <is>
          <t>Poland</t>
        </is>
      </c>
      <c r="H73" t="inlineStr"/>
      <c r="I73" t="n">
        <v>15000000</v>
      </c>
      <c r="J73" t="n">
        <v>1000000</v>
      </c>
      <c r="K73" t="n">
        <v>6</v>
      </c>
      <c r="L73" t="n">
        <v>141000000</v>
      </c>
      <c r="M73" t="n">
        <v>1000000</v>
      </c>
      <c r="N73" t="n">
        <v>22000000</v>
      </c>
      <c r="O73" t="inlineStr"/>
      <c r="P73" t="inlineStr"/>
      <c r="Q73" t="inlineStr"/>
      <c r="R73" t="inlineStr">
        <is>
          <t>EUR</t>
        </is>
      </c>
      <c r="S73" t="n">
        <v>0.06666666666666667</v>
      </c>
      <c r="T73" t="n">
        <v>16.52356075906648</v>
      </c>
      <c r="U73" t="n">
        <v>0.004444444444444444</v>
      </c>
    </row>
    <row r="74">
      <c r="A74" t="inlineStr">
        <is>
          <t>ERG</t>
        </is>
      </c>
      <c r="B74" t="n">
        <v>2021</v>
      </c>
      <c r="C74" t="inlineStr">
        <is>
          <t>Utilities</t>
        </is>
      </c>
      <c r="D74" t="inlineStr">
        <is>
          <t>ITA</t>
        </is>
      </c>
      <c r="E74" t="inlineStr">
        <is>
          <t>Italy</t>
        </is>
      </c>
      <c r="F74" t="inlineStr">
        <is>
          <t>BGR</t>
        </is>
      </c>
      <c r="G74" t="inlineStr">
        <is>
          <t>Bulgaria</t>
        </is>
      </c>
      <c r="H74" t="inlineStr"/>
      <c r="I74" t="n">
        <v>5000000</v>
      </c>
      <c r="J74" t="n">
        <v>1000000</v>
      </c>
      <c r="K74" t="n">
        <v>1</v>
      </c>
      <c r="L74" t="n">
        <v>32000000</v>
      </c>
      <c r="M74" t="n">
        <v>1000000</v>
      </c>
      <c r="N74" t="n">
        <v>23000000</v>
      </c>
      <c r="O74" t="inlineStr"/>
      <c r="P74" t="inlineStr"/>
      <c r="Q74" t="inlineStr"/>
      <c r="R74" t="inlineStr">
        <is>
          <t>EUR</t>
        </is>
      </c>
      <c r="S74" t="n">
        <v>0.2</v>
      </c>
      <c r="T74" t="n">
        <v>15.42494847039838</v>
      </c>
      <c r="U74" t="n">
        <v>0.04000000000000001</v>
      </c>
    </row>
    <row r="75">
      <c r="A75" t="inlineStr">
        <is>
          <t>FALCK RENEWABLES</t>
        </is>
      </c>
      <c r="B75" t="n">
        <v>2020</v>
      </c>
      <c r="C75" t="inlineStr">
        <is>
          <t>Utilities</t>
        </is>
      </c>
      <c r="D75" t="inlineStr">
        <is>
          <t>ITA</t>
        </is>
      </c>
      <c r="E75" t="inlineStr">
        <is>
          <t>Italy</t>
        </is>
      </c>
      <c r="F75" t="inlineStr">
        <is>
          <t>BGR</t>
        </is>
      </c>
      <c r="G75" t="inlineStr">
        <is>
          <t>Bulgaria</t>
        </is>
      </c>
      <c r="H75" t="n">
        <v>138909</v>
      </c>
      <c r="I75" t="n">
        <v>9516</v>
      </c>
      <c r="J75" t="n">
        <v>0</v>
      </c>
      <c r="K75" t="n">
        <v>0</v>
      </c>
      <c r="L75" t="n">
        <v>88</v>
      </c>
      <c r="M75" t="n">
        <v>749</v>
      </c>
      <c r="N75" t="n">
        <v>138909</v>
      </c>
      <c r="O75" t="n">
        <v>0</v>
      </c>
      <c r="P75" t="n">
        <v>1023</v>
      </c>
      <c r="Q75" t="n">
        <v>98133</v>
      </c>
      <c r="R75" t="inlineStr">
        <is>
          <t>EUR</t>
        </is>
      </c>
      <c r="S75" t="n">
        <v>0</v>
      </c>
      <c r="T75" t="n">
        <v>9.160729871422848</v>
      </c>
      <c r="U75" t="n">
        <v>0</v>
      </c>
    </row>
    <row r="76">
      <c r="A76" t="inlineStr">
        <is>
          <t>FALCK RENEWABLES</t>
        </is>
      </c>
      <c r="B76" t="n">
        <v>2020</v>
      </c>
      <c r="C76" t="inlineStr">
        <is>
          <t>Utilities</t>
        </is>
      </c>
      <c r="D76" t="inlineStr">
        <is>
          <t>ITA</t>
        </is>
      </c>
      <c r="E76" t="inlineStr">
        <is>
          <t>Italy</t>
        </is>
      </c>
      <c r="F76" t="inlineStr">
        <is>
          <t>FRA</t>
        </is>
      </c>
      <c r="G76" t="inlineStr">
        <is>
          <t>France</t>
        </is>
      </c>
      <c r="H76" t="n">
        <v>21073128</v>
      </c>
      <c r="I76" t="n">
        <v>7634937</v>
      </c>
      <c r="J76" t="n">
        <v>1055966</v>
      </c>
      <c r="K76" t="n">
        <v>8</v>
      </c>
      <c r="L76" t="n">
        <v>210343218</v>
      </c>
      <c r="M76" t="n">
        <v>1660626</v>
      </c>
      <c r="N76" t="n">
        <v>20196102</v>
      </c>
      <c r="O76" t="n">
        <v>877026</v>
      </c>
      <c r="P76" t="n">
        <v>32692738</v>
      </c>
      <c r="Q76" t="n">
        <v>-23703995</v>
      </c>
      <c r="R76" t="inlineStr">
        <is>
          <t>EUR</t>
        </is>
      </c>
      <c r="S76" t="n">
        <v>0.1383071006348841</v>
      </c>
      <c r="T76" t="n">
        <v>15.84824524512735</v>
      </c>
      <c r="U76" t="n">
        <v>0.01912885408602795</v>
      </c>
    </row>
    <row r="77">
      <c r="A77" t="inlineStr">
        <is>
          <t>FALCK RENEWABLES</t>
        </is>
      </c>
      <c r="B77" t="n">
        <v>2020</v>
      </c>
      <c r="C77" t="inlineStr">
        <is>
          <t>Utilities</t>
        </is>
      </c>
      <c r="D77" t="inlineStr">
        <is>
          <t>ITA</t>
        </is>
      </c>
      <c r="E77" t="inlineStr">
        <is>
          <t>Italy</t>
        </is>
      </c>
      <c r="F77" t="inlineStr">
        <is>
          <t>ITA</t>
        </is>
      </c>
      <c r="G77" t="inlineStr">
        <is>
          <t>Italy</t>
        </is>
      </c>
      <c r="H77" t="n">
        <v>288187093</v>
      </c>
      <c r="I77" t="n">
        <v>76825453</v>
      </c>
      <c r="J77" t="n">
        <v>4864607</v>
      </c>
      <c r="K77" t="n">
        <v>363</v>
      </c>
      <c r="L77" t="n">
        <v>382620235</v>
      </c>
      <c r="M77" t="n">
        <v>2475117</v>
      </c>
      <c r="N77" t="n">
        <v>236018321</v>
      </c>
      <c r="O77" t="n">
        <v>52168772</v>
      </c>
      <c r="P77" t="n">
        <v>324113420</v>
      </c>
      <c r="Q77" t="n">
        <v>156663184</v>
      </c>
      <c r="R77" t="inlineStr">
        <is>
          <t>EUR</t>
        </is>
      </c>
      <c r="S77" t="n">
        <v>0.06332025142760954</v>
      </c>
      <c r="T77" t="n">
        <v>18.1570465624815</v>
      </c>
      <c r="U77" t="n">
        <v>0.004009454240855688</v>
      </c>
    </row>
    <row r="78">
      <c r="A78" t="inlineStr">
        <is>
          <t>FALCK RENEWABLES</t>
        </is>
      </c>
      <c r="B78" t="n">
        <v>2020</v>
      </c>
      <c r="C78" t="inlineStr">
        <is>
          <t>Utilities</t>
        </is>
      </c>
      <c r="D78" t="inlineStr">
        <is>
          <t>ITA</t>
        </is>
      </c>
      <c r="E78" t="inlineStr">
        <is>
          <t>Italy</t>
        </is>
      </c>
      <c r="F78" t="inlineStr">
        <is>
          <t>JPN</t>
        </is>
      </c>
      <c r="G78" t="inlineStr">
        <is>
          <t>Japan</t>
        </is>
      </c>
      <c r="H78" t="n">
        <v>4379033</v>
      </c>
      <c r="I78" t="n">
        <v>681297</v>
      </c>
      <c r="J78" t="n">
        <v>331544</v>
      </c>
      <c r="K78" t="n">
        <v>31</v>
      </c>
      <c r="L78" t="n">
        <v>70383</v>
      </c>
      <c r="M78" t="n">
        <v>393019</v>
      </c>
      <c r="N78" t="n">
        <v>4323237</v>
      </c>
      <c r="O78" t="n">
        <v>55796</v>
      </c>
      <c r="P78" t="n">
        <v>7906</v>
      </c>
      <c r="Q78" t="n">
        <v>1003968</v>
      </c>
      <c r="R78" t="inlineStr">
        <is>
          <t>EUR</t>
        </is>
      </c>
      <c r="S78" t="n">
        <v>0.4866365182879126</v>
      </c>
      <c r="T78" t="n">
        <v>13.43175361340552</v>
      </c>
      <c r="U78" t="n">
        <v>0.2368151009313819</v>
      </c>
    </row>
    <row r="79">
      <c r="A79" t="inlineStr">
        <is>
          <t>FALCK RENEWABLES</t>
        </is>
      </c>
      <c r="B79" t="n">
        <v>2020</v>
      </c>
      <c r="C79" t="inlineStr">
        <is>
          <t>Utilities</t>
        </is>
      </c>
      <c r="D79" t="inlineStr">
        <is>
          <t>ITA</t>
        </is>
      </c>
      <c r="E79" t="inlineStr">
        <is>
          <t>Italy</t>
        </is>
      </c>
      <c r="F79" t="inlineStr">
        <is>
          <t>GBR</t>
        </is>
      </c>
      <c r="G79" t="inlineStr">
        <is>
          <t>United Kingdom</t>
        </is>
      </c>
      <c r="H79" t="n">
        <v>143105347</v>
      </c>
      <c r="I79" t="n">
        <v>87268500</v>
      </c>
      <c r="J79" t="n">
        <v>14307643</v>
      </c>
      <c r="K79" t="n">
        <v>29</v>
      </c>
      <c r="L79" t="n">
        <v>350158761</v>
      </c>
      <c r="M79" t="n">
        <v>9592561</v>
      </c>
      <c r="N79" t="n">
        <v>135103389</v>
      </c>
      <c r="O79" t="n">
        <v>8001958</v>
      </c>
      <c r="P79" t="n">
        <v>75559659</v>
      </c>
      <c r="Q79" t="n">
        <v>245836068</v>
      </c>
      <c r="R79" t="inlineStr">
        <is>
          <t>EUR</t>
        </is>
      </c>
      <c r="S79" t="n">
        <v>0.1639496840211531</v>
      </c>
      <c r="T79" t="n">
        <v>18.28450013095465</v>
      </c>
      <c r="U79" t="n">
        <v>0.02687949889063595</v>
      </c>
    </row>
    <row r="80">
      <c r="A80" t="inlineStr">
        <is>
          <t>FALCK RENEWABLES</t>
        </is>
      </c>
      <c r="B80" t="n">
        <v>2020</v>
      </c>
      <c r="C80" t="inlineStr">
        <is>
          <t>Utilities</t>
        </is>
      </c>
      <c r="D80" t="inlineStr">
        <is>
          <t>ITA</t>
        </is>
      </c>
      <c r="E80" t="inlineStr">
        <is>
          <t>Italy</t>
        </is>
      </c>
      <c r="F80" t="inlineStr">
        <is>
          <t>USA</t>
        </is>
      </c>
      <c r="G80" t="inlineStr">
        <is>
          <t>United States of America</t>
        </is>
      </c>
      <c r="H80" t="n">
        <v>36213105</v>
      </c>
      <c r="I80" t="n">
        <v>4386799</v>
      </c>
      <c r="J80" t="n">
        <v>0</v>
      </c>
      <c r="K80" t="n">
        <v>13</v>
      </c>
      <c r="L80" t="n">
        <v>402132582</v>
      </c>
      <c r="M80" t="n">
        <v>730377</v>
      </c>
      <c r="N80" t="n">
        <v>5521927</v>
      </c>
      <c r="O80" t="n">
        <v>30691178</v>
      </c>
      <c r="P80" t="n">
        <v>307770581</v>
      </c>
      <c r="Q80" t="n">
        <v>3043026</v>
      </c>
      <c r="R80" t="inlineStr">
        <is>
          <t>EUR</t>
        </is>
      </c>
      <c r="S80" t="n">
        <v>0</v>
      </c>
      <c r="T80" t="n">
        <v>15.29411036191157</v>
      </c>
      <c r="U80" t="n">
        <v>0</v>
      </c>
    </row>
    <row r="81">
      <c r="A81" t="inlineStr">
        <is>
          <t>SGR</t>
        </is>
      </c>
      <c r="B81" t="n">
        <v>2018</v>
      </c>
      <c r="C81" t="inlineStr">
        <is>
          <t>Utilities</t>
        </is>
      </c>
      <c r="D81" t="inlineStr">
        <is>
          <t>ITA</t>
        </is>
      </c>
      <c r="E81" t="inlineStr">
        <is>
          <t>Italy</t>
        </is>
      </c>
      <c r="F81" t="inlineStr">
        <is>
          <t>ITA</t>
        </is>
      </c>
      <c r="G81" t="inlineStr">
        <is>
          <t>Italy</t>
        </is>
      </c>
      <c r="H81" t="n">
        <v>342199773</v>
      </c>
      <c r="I81" t="n">
        <v>31066774</v>
      </c>
      <c r="J81" t="n">
        <v>11088582</v>
      </c>
      <c r="K81" t="n">
        <v>386</v>
      </c>
      <c r="L81" t="n">
        <v>104518720</v>
      </c>
      <c r="M81" t="n">
        <v>9603825</v>
      </c>
      <c r="N81" t="n">
        <v>341683891</v>
      </c>
      <c r="O81" t="n">
        <v>515882</v>
      </c>
      <c r="P81" t="inlineStr"/>
      <c r="Q81" t="inlineStr"/>
      <c r="R81" t="inlineStr">
        <is>
          <t>EUR</t>
        </is>
      </c>
      <c r="S81" t="n">
        <v>0.3569273719891225</v>
      </c>
      <c r="T81" t="n">
        <v>17.25164944591737</v>
      </c>
      <c r="U81" t="n">
        <v>0.1273971488750614</v>
      </c>
    </row>
    <row r="82">
      <c r="A82" t="inlineStr">
        <is>
          <t>SGR</t>
        </is>
      </c>
      <c r="B82" t="n">
        <v>2018</v>
      </c>
      <c r="C82" t="inlineStr">
        <is>
          <t>Utilities</t>
        </is>
      </c>
      <c r="D82" t="inlineStr">
        <is>
          <t>ITA</t>
        </is>
      </c>
      <c r="E82" t="inlineStr">
        <is>
          <t>Italy</t>
        </is>
      </c>
      <c r="F82" t="inlineStr">
        <is>
          <t>BGR</t>
        </is>
      </c>
      <c r="G82" t="inlineStr">
        <is>
          <t>Bulgaria</t>
        </is>
      </c>
      <c r="H82" t="n">
        <v>26661412</v>
      </c>
      <c r="I82" t="n">
        <v>3341779</v>
      </c>
      <c r="J82" t="n">
        <v>301626</v>
      </c>
      <c r="K82" t="n">
        <v>72</v>
      </c>
      <c r="L82" t="n">
        <v>54816192</v>
      </c>
      <c r="M82" t="n">
        <v>240746</v>
      </c>
      <c r="N82" t="n">
        <v>26661412</v>
      </c>
      <c r="O82" t="n">
        <v>0</v>
      </c>
      <c r="P82" t="inlineStr"/>
      <c r="Q82" t="inlineStr"/>
      <c r="R82" t="inlineStr">
        <is>
          <t>EUR</t>
        </is>
      </c>
      <c r="S82" t="n">
        <v>0.09025911049174706</v>
      </c>
      <c r="T82" t="n">
        <v>15.02201385788389</v>
      </c>
      <c r="U82" t="n">
        <v>0.008146707026761405</v>
      </c>
    </row>
    <row r="83">
      <c r="A83" t="inlineStr">
        <is>
          <t>SGR</t>
        </is>
      </c>
      <c r="B83" t="n">
        <v>2019</v>
      </c>
      <c r="C83" t="inlineStr">
        <is>
          <t>Utilities</t>
        </is>
      </c>
      <c r="D83" t="inlineStr">
        <is>
          <t>ITA</t>
        </is>
      </c>
      <c r="E83" t="inlineStr">
        <is>
          <t>Italy</t>
        </is>
      </c>
      <c r="F83" t="inlineStr">
        <is>
          <t>ITA</t>
        </is>
      </c>
      <c r="G83" t="inlineStr">
        <is>
          <t>Italy</t>
        </is>
      </c>
      <c r="H83" t="n">
        <v>424175791</v>
      </c>
      <c r="I83" t="n">
        <v>35153290</v>
      </c>
      <c r="J83" t="n">
        <v>7680270</v>
      </c>
      <c r="K83" t="n">
        <v>392</v>
      </c>
      <c r="L83" t="n">
        <v>109495296</v>
      </c>
      <c r="M83" t="n">
        <v>9625692</v>
      </c>
      <c r="N83" t="n">
        <v>423875765</v>
      </c>
      <c r="O83" t="n">
        <v>300026</v>
      </c>
      <c r="P83" t="inlineStr"/>
      <c r="Q83" t="inlineStr"/>
      <c r="R83" t="inlineStr">
        <is>
          <t>EUR</t>
        </is>
      </c>
      <c r="S83" t="n">
        <v>0.218479408328495</v>
      </c>
      <c r="T83" t="n">
        <v>17.37522877070287</v>
      </c>
      <c r="U83" t="n">
        <v>0.04773325186356925</v>
      </c>
    </row>
    <row r="84">
      <c r="A84" t="inlineStr">
        <is>
          <t>SGR</t>
        </is>
      </c>
      <c r="B84" t="n">
        <v>2019</v>
      </c>
      <c r="C84" t="inlineStr">
        <is>
          <t>Utilities</t>
        </is>
      </c>
      <c r="D84" t="inlineStr">
        <is>
          <t>ITA</t>
        </is>
      </c>
      <c r="E84" t="inlineStr">
        <is>
          <t>Italy</t>
        </is>
      </c>
      <c r="F84" t="inlineStr">
        <is>
          <t>BGR</t>
        </is>
      </c>
      <c r="G84" t="inlineStr">
        <is>
          <t>Bulgaria</t>
        </is>
      </c>
      <c r="H84" t="n">
        <v>30771665</v>
      </c>
      <c r="I84" t="n">
        <v>1173528</v>
      </c>
      <c r="J84" t="n">
        <v>366131</v>
      </c>
      <c r="K84" t="n">
        <v>77</v>
      </c>
      <c r="L84" t="n">
        <v>52357201</v>
      </c>
      <c r="M84" t="n">
        <v>357216</v>
      </c>
      <c r="N84" t="n">
        <v>30771665</v>
      </c>
      <c r="O84" t="n">
        <v>0</v>
      </c>
      <c r="P84" t="inlineStr"/>
      <c r="Q84" t="inlineStr"/>
      <c r="R84" t="inlineStr">
        <is>
          <t>EUR</t>
        </is>
      </c>
      <c r="S84" t="n">
        <v>0.3119917036491673</v>
      </c>
      <c r="T84" t="n">
        <v>13.97552515423569</v>
      </c>
      <c r="U84" t="n">
        <v>0.09733882314590982</v>
      </c>
    </row>
    <row r="85">
      <c r="A85" t="inlineStr">
        <is>
          <t>SGR</t>
        </is>
      </c>
      <c r="B85" t="n">
        <v>2020</v>
      </c>
      <c r="C85" t="inlineStr">
        <is>
          <t>Utilities</t>
        </is>
      </c>
      <c r="D85" t="inlineStr">
        <is>
          <t>ITA</t>
        </is>
      </c>
      <c r="E85" t="inlineStr">
        <is>
          <t>Italy</t>
        </is>
      </c>
      <c r="F85" t="inlineStr">
        <is>
          <t>ITA</t>
        </is>
      </c>
      <c r="G85" t="inlineStr">
        <is>
          <t>Italy</t>
        </is>
      </c>
      <c r="H85" t="n">
        <v>373927340</v>
      </c>
      <c r="I85" t="n">
        <v>33372192</v>
      </c>
      <c r="J85" t="n">
        <v>10309532</v>
      </c>
      <c r="K85" t="n">
        <v>432</v>
      </c>
      <c r="L85" t="n">
        <v>176103029</v>
      </c>
      <c r="M85" t="n">
        <v>7724633</v>
      </c>
      <c r="N85" t="n">
        <v>370735337</v>
      </c>
      <c r="O85" t="n">
        <v>3192003</v>
      </c>
      <c r="P85" t="inlineStr"/>
      <c r="Q85" t="inlineStr"/>
      <c r="R85" t="inlineStr">
        <is>
          <t>EUR</t>
        </is>
      </c>
      <c r="S85" t="n">
        <v>0.3089258266283497</v>
      </c>
      <c r="T85" t="n">
        <v>17.32323353631369</v>
      </c>
      <c r="U85" t="n">
        <v>0.09543516635800919</v>
      </c>
    </row>
    <row r="86">
      <c r="A86" t="inlineStr">
        <is>
          <t>SGR</t>
        </is>
      </c>
      <c r="B86" t="n">
        <v>2020</v>
      </c>
      <c r="C86" t="inlineStr">
        <is>
          <t>Utilities</t>
        </is>
      </c>
      <c r="D86" t="inlineStr">
        <is>
          <t>ITA</t>
        </is>
      </c>
      <c r="E86" t="inlineStr">
        <is>
          <t>Italy</t>
        </is>
      </c>
      <c r="F86" t="inlineStr">
        <is>
          <t>BGR</t>
        </is>
      </c>
      <c r="G86" t="inlineStr">
        <is>
          <t>Bulgaria</t>
        </is>
      </c>
      <c r="H86" t="n">
        <v>22569134</v>
      </c>
      <c r="I86" t="n">
        <v>2624438</v>
      </c>
      <c r="J86" t="n">
        <v>369159</v>
      </c>
      <c r="K86" t="n">
        <v>76</v>
      </c>
      <c r="L86" t="n">
        <v>53181546</v>
      </c>
      <c r="M86" t="n">
        <v>391732</v>
      </c>
      <c r="N86" t="n">
        <v>22569134</v>
      </c>
      <c r="O86" t="n">
        <v>0</v>
      </c>
      <c r="P86" t="inlineStr"/>
      <c r="Q86" t="inlineStr"/>
      <c r="R86" t="inlineStr">
        <is>
          <t>EUR</t>
        </is>
      </c>
      <c r="S86" t="n">
        <v>0.140662115089021</v>
      </c>
      <c r="T86" t="n">
        <v>14.78037733584811</v>
      </c>
      <c r="U86" t="n">
        <v>0.01978583062131698</v>
      </c>
    </row>
    <row r="87">
      <c r="A87" t="inlineStr">
        <is>
          <t>SGR</t>
        </is>
      </c>
      <c r="B87" t="n">
        <v>2021</v>
      </c>
      <c r="C87" t="inlineStr">
        <is>
          <t>Utilities</t>
        </is>
      </c>
      <c r="D87" t="inlineStr">
        <is>
          <t>ITA</t>
        </is>
      </c>
      <c r="E87" t="inlineStr">
        <is>
          <t>Italy</t>
        </is>
      </c>
      <c r="F87" t="inlineStr">
        <is>
          <t>ITA</t>
        </is>
      </c>
      <c r="G87" t="inlineStr">
        <is>
          <t>Italy</t>
        </is>
      </c>
      <c r="H87" t="n">
        <v>530717278</v>
      </c>
      <c r="I87" t="n">
        <v>28372324</v>
      </c>
      <c r="J87" t="n">
        <v>6109793</v>
      </c>
      <c r="K87" t="n">
        <v>467</v>
      </c>
      <c r="L87" t="n">
        <v>175426238</v>
      </c>
      <c r="M87" t="n">
        <v>6752345</v>
      </c>
      <c r="N87" t="n">
        <v>526858985</v>
      </c>
      <c r="O87" t="n">
        <v>3858293</v>
      </c>
      <c r="P87" t="inlineStr"/>
      <c r="Q87" t="inlineStr"/>
      <c r="R87" t="inlineStr">
        <is>
          <t>EUR</t>
        </is>
      </c>
      <c r="S87" t="n">
        <v>0.2153434100075834</v>
      </c>
      <c r="T87" t="n">
        <v>17.16092472094848</v>
      </c>
      <c r="U87" t="n">
        <v>0.04637278423369419</v>
      </c>
    </row>
    <row r="88">
      <c r="A88" t="inlineStr">
        <is>
          <t>SGR</t>
        </is>
      </c>
      <c r="B88" t="n">
        <v>2021</v>
      </c>
      <c r="C88" t="inlineStr">
        <is>
          <t>Utilities</t>
        </is>
      </c>
      <c r="D88" t="inlineStr">
        <is>
          <t>ITA</t>
        </is>
      </c>
      <c r="E88" t="inlineStr">
        <is>
          <t>Italy</t>
        </is>
      </c>
      <c r="F88" t="inlineStr">
        <is>
          <t>BGR</t>
        </is>
      </c>
      <c r="G88" t="inlineStr">
        <is>
          <t>Bulgaria</t>
        </is>
      </c>
      <c r="H88" t="n">
        <v>44688521</v>
      </c>
      <c r="I88" t="n">
        <v>3260983</v>
      </c>
      <c r="J88" t="n">
        <v>460184</v>
      </c>
      <c r="K88" t="n">
        <v>83</v>
      </c>
      <c r="L88" t="n">
        <v>53015279</v>
      </c>
      <c r="M88" t="n">
        <v>527503</v>
      </c>
      <c r="N88" t="n">
        <v>44688521</v>
      </c>
      <c r="O88" t="n">
        <v>0</v>
      </c>
      <c r="P88" t="inlineStr"/>
      <c r="Q88" t="inlineStr"/>
      <c r="R88" t="inlineStr">
        <is>
          <t>EUR</t>
        </is>
      </c>
      <c r="S88" t="n">
        <v>0.1411181843020954</v>
      </c>
      <c r="T88" t="n">
        <v>14.99753924163306</v>
      </c>
      <c r="U88" t="n">
        <v>0.01991434194072017</v>
      </c>
    </row>
    <row r="89">
      <c r="A89" t="inlineStr">
        <is>
          <t>TERNA</t>
        </is>
      </c>
      <c r="B89" t="n">
        <v>2020</v>
      </c>
      <c r="C89" t="inlineStr">
        <is>
          <t>Utilities</t>
        </is>
      </c>
      <c r="D89" t="inlineStr">
        <is>
          <t>ITA</t>
        </is>
      </c>
      <c r="E89" t="inlineStr">
        <is>
          <t>Italy</t>
        </is>
      </c>
      <c r="F89" t="inlineStr">
        <is>
          <t>ITA</t>
        </is>
      </c>
      <c r="G89" t="inlineStr">
        <is>
          <t>Italy</t>
        </is>
      </c>
      <c r="H89" t="inlineStr"/>
      <c r="I89" t="n">
        <v>1082900000</v>
      </c>
      <c r="J89" t="n">
        <v>343200000</v>
      </c>
      <c r="K89" t="inlineStr"/>
      <c r="L89" t="inlineStr"/>
      <c r="M89" t="n">
        <v>304600000</v>
      </c>
      <c r="N89" t="inlineStr"/>
      <c r="O89" t="inlineStr"/>
      <c r="P89" t="inlineStr"/>
      <c r="Q89" t="inlineStr"/>
      <c r="R89" t="inlineStr">
        <is>
          <t>EUR</t>
        </is>
      </c>
      <c r="S89" t="n">
        <v>0.3169267707082833</v>
      </c>
      <c r="T89" t="n">
        <v>20.80290846459861</v>
      </c>
      <c r="U89" t="n">
        <v>0.1004425779915808</v>
      </c>
    </row>
    <row r="90">
      <c r="A90" t="inlineStr">
        <is>
          <t>TERNA</t>
        </is>
      </c>
      <c r="B90" t="n">
        <v>2020</v>
      </c>
      <c r="C90" t="inlineStr">
        <is>
          <t>Utilities</t>
        </is>
      </c>
      <c r="D90" t="inlineStr">
        <is>
          <t>ITA</t>
        </is>
      </c>
      <c r="E90" t="inlineStr">
        <is>
          <t>Italy</t>
        </is>
      </c>
      <c r="F90" t="inlineStr">
        <is>
          <t>MNE</t>
        </is>
      </c>
      <c r="G90" t="inlineStr">
        <is>
          <t>Montenegro</t>
        </is>
      </c>
      <c r="H90" t="inlineStr"/>
      <c r="I90" t="n">
        <v>3700000</v>
      </c>
      <c r="J90" t="n">
        <v>0</v>
      </c>
      <c r="K90" t="inlineStr"/>
      <c r="L90" t="inlineStr"/>
      <c r="M90" t="n">
        <v>400000</v>
      </c>
      <c r="N90" t="inlineStr"/>
      <c r="O90" t="inlineStr"/>
      <c r="P90" t="inlineStr"/>
      <c r="Q90" t="inlineStr"/>
      <c r="R90" t="inlineStr">
        <is>
          <t>EUR</t>
        </is>
      </c>
      <c r="S90" t="n">
        <v>0</v>
      </c>
      <c r="T90" t="n">
        <v>15.12384337761445</v>
      </c>
      <c r="U90" t="n">
        <v>0</v>
      </c>
    </row>
    <row r="91">
      <c r="A91" t="inlineStr">
        <is>
          <t>TERNA</t>
        </is>
      </c>
      <c r="B91" t="n">
        <v>2020</v>
      </c>
      <c r="C91" t="inlineStr">
        <is>
          <t>Utilities</t>
        </is>
      </c>
      <c r="D91" t="inlineStr">
        <is>
          <t>ITA</t>
        </is>
      </c>
      <c r="E91" t="inlineStr">
        <is>
          <t>Italy</t>
        </is>
      </c>
      <c r="F91" t="inlineStr">
        <is>
          <t>BRA</t>
        </is>
      </c>
      <c r="G91" t="inlineStr">
        <is>
          <t>Brazil</t>
        </is>
      </c>
      <c r="H91" t="inlineStr"/>
      <c r="I91" t="n">
        <v>9000000</v>
      </c>
      <c r="J91" t="n">
        <v>0</v>
      </c>
      <c r="K91" t="inlineStr"/>
      <c r="L91" t="inlineStr"/>
      <c r="M91" t="n">
        <v>4600000</v>
      </c>
      <c r="N91" t="inlineStr"/>
      <c r="O91" t="inlineStr"/>
      <c r="P91" t="inlineStr"/>
      <c r="Q91" t="inlineStr"/>
      <c r="R91" t="inlineStr">
        <is>
          <t>EUR</t>
        </is>
      </c>
      <c r="S91" t="n">
        <v>0</v>
      </c>
      <c r="T91" t="n">
        <v>16.01273513530049</v>
      </c>
      <c r="U91" t="n">
        <v>0</v>
      </c>
    </row>
    <row r="92">
      <c r="A92" t="inlineStr">
        <is>
          <t>TERNA</t>
        </is>
      </c>
      <c r="B92" t="n">
        <v>2020</v>
      </c>
      <c r="C92" t="inlineStr">
        <is>
          <t>Utilities</t>
        </is>
      </c>
      <c r="D92" t="inlineStr">
        <is>
          <t>ITA</t>
        </is>
      </c>
      <c r="E92" t="inlineStr">
        <is>
          <t>Italy</t>
        </is>
      </c>
      <c r="F92" t="inlineStr">
        <is>
          <t>URY</t>
        </is>
      </c>
      <c r="G92" t="inlineStr">
        <is>
          <t>Uruguay</t>
        </is>
      </c>
      <c r="H92" t="inlineStr"/>
      <c r="I92" t="n">
        <v>1900000</v>
      </c>
      <c r="J92" t="n">
        <v>0</v>
      </c>
      <c r="K92" t="inlineStr"/>
      <c r="L92" t="inlineStr"/>
      <c r="M92" t="n">
        <v>1000000</v>
      </c>
      <c r="N92" t="inlineStr"/>
      <c r="O92" t="inlineStr"/>
      <c r="P92" t="inlineStr"/>
      <c r="Q92" t="inlineStr"/>
      <c r="R92" t="inlineStr">
        <is>
          <t>EUR</t>
        </is>
      </c>
      <c r="S92" t="n">
        <v>0</v>
      </c>
      <c r="T92" t="n">
        <v>14.45736444413667</v>
      </c>
      <c r="U92" t="n">
        <v>0</v>
      </c>
    </row>
    <row r="93">
      <c r="A93" t="inlineStr">
        <is>
          <t>TERNA</t>
        </is>
      </c>
      <c r="B93" t="n">
        <v>2021</v>
      </c>
      <c r="C93" t="inlineStr">
        <is>
          <t>Utilities</t>
        </is>
      </c>
      <c r="D93" t="inlineStr">
        <is>
          <t>ITA</t>
        </is>
      </c>
      <c r="E93" t="inlineStr">
        <is>
          <t>Italy</t>
        </is>
      </c>
      <c r="F93" t="inlineStr">
        <is>
          <t>ITA</t>
        </is>
      </c>
      <c r="G93" t="inlineStr">
        <is>
          <t>Italy</t>
        </is>
      </c>
      <c r="H93" t="inlineStr"/>
      <c r="I93" t="n">
        <v>1152700000</v>
      </c>
      <c r="J93" t="n">
        <v>327000000</v>
      </c>
      <c r="K93" t="inlineStr"/>
      <c r="L93" t="n">
        <v>14615300000</v>
      </c>
      <c r="M93" t="n">
        <v>328500000</v>
      </c>
      <c r="N93" t="inlineStr"/>
      <c r="O93" t="n">
        <v>716400000</v>
      </c>
      <c r="P93" t="inlineStr"/>
      <c r="Q93" t="inlineStr"/>
      <c r="R93" t="inlineStr">
        <is>
          <t>EUR</t>
        </is>
      </c>
      <c r="S93" t="n">
        <v>0.2836817905786415</v>
      </c>
      <c r="T93" t="n">
        <v>20.86537285357124</v>
      </c>
      <c r="U93" t="n">
        <v>0.08047535830590419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ENEL</t>
        </is>
      </c>
      <c r="B2" t="n">
        <v>2020</v>
      </c>
      <c r="C2" t="inlineStr">
        <is>
          <t>Utilities</t>
        </is>
      </c>
      <c r="D2" t="inlineStr">
        <is>
          <t>ITA</t>
        </is>
      </c>
      <c r="E2" t="inlineStr">
        <is>
          <t>Italy</t>
        </is>
      </c>
      <c r="F2" t="inlineStr">
        <is>
          <t>ITA</t>
        </is>
      </c>
      <c r="G2" t="inlineStr">
        <is>
          <t>Italy</t>
        </is>
      </c>
      <c r="H2" t="n">
        <v>42320400000</v>
      </c>
      <c r="I2" t="n">
        <v>1532800000</v>
      </c>
      <c r="J2" t="n">
        <v>1025400000</v>
      </c>
      <c r="K2" t="n">
        <v>29777</v>
      </c>
      <c r="L2" t="n">
        <v>28235700000</v>
      </c>
      <c r="M2" t="n">
        <v>1038000000</v>
      </c>
      <c r="N2" t="n">
        <v>40231600000</v>
      </c>
      <c r="O2" t="n">
        <v>2088800000</v>
      </c>
      <c r="P2" t="inlineStr"/>
      <c r="Q2" t="inlineStr"/>
      <c r="R2" t="inlineStr">
        <is>
          <t>EUR</t>
        </is>
      </c>
      <c r="S2" t="n">
        <v>0.6689718162839249</v>
      </c>
      <c r="T2" t="n">
        <v>21.15036196518087</v>
      </c>
      <c r="U2" t="n">
        <v>0.4475232909822133</v>
      </c>
      <c r="V2" t="n">
        <v>10.30149156241267</v>
      </c>
      <c r="W2" t="n">
        <v>24.06385297168881</v>
      </c>
      <c r="X2" t="n">
        <v>21.45985557534919</v>
      </c>
    </row>
    <row r="3">
      <c r="A3" t="inlineStr">
        <is>
          <t>ENEL</t>
        </is>
      </c>
      <c r="B3" t="n">
        <v>2020</v>
      </c>
      <c r="C3" t="inlineStr">
        <is>
          <t>Utilities</t>
        </is>
      </c>
      <c r="D3" t="inlineStr">
        <is>
          <t>ITA</t>
        </is>
      </c>
      <c r="E3" t="inlineStr">
        <is>
          <t>Italy</t>
        </is>
      </c>
      <c r="F3" t="inlineStr">
        <is>
          <t>ESP</t>
        </is>
      </c>
      <c r="G3" t="inlineStr">
        <is>
          <t>Spain</t>
        </is>
      </c>
      <c r="H3" t="n">
        <v>16793400000</v>
      </c>
      <c r="I3" t="n">
        <v>1637300000</v>
      </c>
      <c r="J3" t="n">
        <v>136200000</v>
      </c>
      <c r="K3" t="n">
        <v>9659</v>
      </c>
      <c r="L3" t="n">
        <v>22958200000</v>
      </c>
      <c r="M3" t="n">
        <v>120000000</v>
      </c>
      <c r="N3" t="n">
        <v>15761000000</v>
      </c>
      <c r="O3" t="n">
        <v>1032400000</v>
      </c>
      <c r="P3" t="inlineStr"/>
      <c r="Q3" t="inlineStr"/>
      <c r="R3" t="inlineStr">
        <is>
          <t>EUR</t>
        </is>
      </c>
      <c r="S3" t="n">
        <v>0.08318573260856288</v>
      </c>
      <c r="T3" t="n">
        <v>21.21631438060972</v>
      </c>
      <c r="U3" t="n">
        <v>0.006919866109623322</v>
      </c>
      <c r="V3" t="n">
        <v>9.175645402179295</v>
      </c>
      <c r="W3" t="n">
        <v>23.85694100811201</v>
      </c>
      <c r="X3" t="n">
        <v>20.75515202580873</v>
      </c>
    </row>
    <row r="4">
      <c r="A4" t="inlineStr">
        <is>
          <t>ENEL</t>
        </is>
      </c>
      <c r="B4" t="n">
        <v>2020</v>
      </c>
      <c r="C4" t="inlineStr">
        <is>
          <t>Utilities</t>
        </is>
      </c>
      <c r="D4" t="inlineStr">
        <is>
          <t>ITA</t>
        </is>
      </c>
      <c r="E4" t="inlineStr">
        <is>
          <t>Italy</t>
        </is>
      </c>
      <c r="F4" t="inlineStr">
        <is>
          <t>RUS</t>
        </is>
      </c>
      <c r="G4" t="inlineStr">
        <is>
          <t>Russia</t>
        </is>
      </c>
      <c r="H4" t="n">
        <v>553100000</v>
      </c>
      <c r="I4" t="n">
        <v>52300000</v>
      </c>
      <c r="J4" t="n">
        <v>13200000</v>
      </c>
      <c r="K4" t="n">
        <v>1475</v>
      </c>
      <c r="L4" t="n">
        <v>606500000</v>
      </c>
      <c r="M4" t="n">
        <v>10700000</v>
      </c>
      <c r="N4" t="n">
        <v>547600000</v>
      </c>
      <c r="O4" t="n">
        <v>5500000</v>
      </c>
      <c r="P4" t="inlineStr"/>
      <c r="Q4" t="inlineStr"/>
      <c r="R4" t="inlineStr">
        <is>
          <t>EUR</t>
        </is>
      </c>
      <c r="S4" t="n">
        <v>0.2523900573613767</v>
      </c>
      <c r="T4" t="n">
        <v>17.77250692903515</v>
      </c>
      <c r="U4" t="n">
        <v>0.063700741054879</v>
      </c>
      <c r="V4" t="n">
        <v>7.29641326877392</v>
      </c>
      <c r="W4" t="n">
        <v>20.22321528634838</v>
      </c>
      <c r="X4" t="n">
        <v>15.5202586502027</v>
      </c>
    </row>
    <row r="5">
      <c r="A5" t="inlineStr">
        <is>
          <t>ENEL</t>
        </is>
      </c>
      <c r="B5" t="n">
        <v>2020</v>
      </c>
      <c r="C5" t="inlineStr">
        <is>
          <t>Utilities</t>
        </is>
      </c>
      <c r="D5" t="inlineStr">
        <is>
          <t>ITA</t>
        </is>
      </c>
      <c r="E5" t="inlineStr">
        <is>
          <t>Italy</t>
        </is>
      </c>
      <c r="F5" t="inlineStr">
        <is>
          <t>ROU</t>
        </is>
      </c>
      <c r="G5" t="inlineStr">
        <is>
          <t>Romania</t>
        </is>
      </c>
      <c r="H5" t="n">
        <v>1406200000</v>
      </c>
      <c r="I5" t="n">
        <v>223300000</v>
      </c>
      <c r="J5" t="n">
        <v>21100000</v>
      </c>
      <c r="K5" t="n">
        <v>3248</v>
      </c>
      <c r="L5" t="n">
        <v>1993000000</v>
      </c>
      <c r="M5" t="n">
        <v>23800000</v>
      </c>
      <c r="N5" t="n">
        <v>1401300000</v>
      </c>
      <c r="O5" t="n">
        <v>4900000</v>
      </c>
      <c r="P5" t="inlineStr"/>
      <c r="Q5" t="inlineStr"/>
      <c r="R5" t="inlineStr">
        <is>
          <t>EUR</t>
        </is>
      </c>
      <c r="S5" t="n">
        <v>0.09449171518137035</v>
      </c>
      <c r="T5" t="n">
        <v>19.22402671681039</v>
      </c>
      <c r="U5" t="n">
        <v>0.008928684237917216</v>
      </c>
      <c r="V5" t="n">
        <v>8.085794701281568</v>
      </c>
      <c r="W5" t="n">
        <v>21.41290687817707</v>
      </c>
      <c r="X5" t="n">
        <v>15.40474576308086</v>
      </c>
    </row>
    <row r="6">
      <c r="A6" t="inlineStr">
        <is>
          <t>ENEL</t>
        </is>
      </c>
      <c r="B6" t="n">
        <v>2020</v>
      </c>
      <c r="C6" t="inlineStr">
        <is>
          <t>Utilities</t>
        </is>
      </c>
      <c r="D6" t="inlineStr">
        <is>
          <t>ITA</t>
        </is>
      </c>
      <c r="E6" t="inlineStr">
        <is>
          <t>Italy</t>
        </is>
      </c>
      <c r="F6" t="inlineStr">
        <is>
          <t>NLD</t>
        </is>
      </c>
      <c r="G6" t="inlineStr">
        <is>
          <t>Netherlands</t>
        </is>
      </c>
      <c r="H6" t="n">
        <v>3740800000</v>
      </c>
      <c r="I6" t="n">
        <v>301400000</v>
      </c>
      <c r="J6" t="n">
        <v>43400000</v>
      </c>
      <c r="K6" t="n">
        <v>20</v>
      </c>
      <c r="L6" t="n">
        <v>100000</v>
      </c>
      <c r="M6" t="n">
        <v>75200000</v>
      </c>
      <c r="N6" t="n">
        <v>2209800000</v>
      </c>
      <c r="O6" t="n">
        <v>1531000000</v>
      </c>
      <c r="P6" t="inlineStr"/>
      <c r="Q6" t="inlineStr"/>
      <c r="R6" t="inlineStr">
        <is>
          <t>EUR</t>
        </is>
      </c>
      <c r="S6" t="n">
        <v>0.1439946914399469</v>
      </c>
      <c r="T6" t="n">
        <v>19.52394884415667</v>
      </c>
      <c r="U6" t="n">
        <v>0.02073447116288552</v>
      </c>
      <c r="V6" t="n">
        <v>2.995732273553991</v>
      </c>
      <c r="W6" t="n">
        <v>11.51292546497023</v>
      </c>
      <c r="X6" t="n">
        <v>21.14918695362196</v>
      </c>
    </row>
    <row r="7">
      <c r="A7" t="inlineStr">
        <is>
          <t>ENEL</t>
        </is>
      </c>
      <c r="B7" t="n">
        <v>2020</v>
      </c>
      <c r="C7" t="inlineStr">
        <is>
          <t>Utilities</t>
        </is>
      </c>
      <c r="D7" t="inlineStr">
        <is>
          <t>ITA</t>
        </is>
      </c>
      <c r="E7" t="inlineStr">
        <is>
          <t>Italy</t>
        </is>
      </c>
      <c r="F7" t="inlineStr">
        <is>
          <t>OTHER</t>
        </is>
      </c>
      <c r="G7" t="inlineStr">
        <is>
          <t>USA and Canada</t>
        </is>
      </c>
      <c r="H7" t="n">
        <v>1295600000</v>
      </c>
      <c r="I7" t="n">
        <v>201600000</v>
      </c>
      <c r="J7" t="n">
        <v>3500000</v>
      </c>
      <c r="K7" t="n">
        <v>1306</v>
      </c>
      <c r="L7" t="n">
        <v>7305700000</v>
      </c>
      <c r="M7" t="n">
        <v>0</v>
      </c>
      <c r="N7" t="n">
        <v>1271000000</v>
      </c>
      <c r="O7" t="n">
        <v>24600000</v>
      </c>
      <c r="P7" t="inlineStr"/>
      <c r="Q7" t="inlineStr"/>
      <c r="R7" t="inlineStr">
        <is>
          <t>EUR</t>
        </is>
      </c>
      <c r="S7" t="n">
        <v>0.01736111111111111</v>
      </c>
      <c r="T7" t="n">
        <v>19.12179609416149</v>
      </c>
      <c r="U7" t="n">
        <v>0.0003014081790123457</v>
      </c>
      <c r="V7" t="n">
        <v>7.174724309836376</v>
      </c>
      <c r="W7" t="n">
        <v>22.71192070233572</v>
      </c>
      <c r="X7" t="n">
        <v>17.01825700090259</v>
      </c>
    </row>
    <row r="8">
      <c r="A8" t="inlineStr">
        <is>
          <t>ENEL</t>
        </is>
      </c>
      <c r="B8" t="n">
        <v>2020</v>
      </c>
      <c r="C8" t="inlineStr">
        <is>
          <t>Utilities</t>
        </is>
      </c>
      <c r="D8" t="inlineStr">
        <is>
          <t>ITA</t>
        </is>
      </c>
      <c r="E8" t="inlineStr">
        <is>
          <t>Italy</t>
        </is>
      </c>
      <c r="F8" t="inlineStr">
        <is>
          <t>MEX</t>
        </is>
      </c>
      <c r="G8" t="inlineStr">
        <is>
          <t>Mexico</t>
        </is>
      </c>
      <c r="H8" t="n">
        <v>167600000</v>
      </c>
      <c r="I8" t="n">
        <v>32800000</v>
      </c>
      <c r="J8" t="n">
        <v>15400000</v>
      </c>
      <c r="K8" t="n">
        <v>333</v>
      </c>
      <c r="L8" t="n">
        <v>1207000000</v>
      </c>
      <c r="M8" t="n">
        <v>8700000</v>
      </c>
      <c r="N8" t="n">
        <v>164600000</v>
      </c>
      <c r="O8" t="n">
        <v>3000000</v>
      </c>
      <c r="P8" t="inlineStr"/>
      <c r="Q8" t="inlineStr"/>
      <c r="R8" t="inlineStr">
        <is>
          <t>EUR</t>
        </is>
      </c>
      <c r="S8" t="n">
        <v>0.4695121951219512</v>
      </c>
      <c r="T8" t="n">
        <v>17.30593907335437</v>
      </c>
      <c r="U8" t="n">
        <v>0.2204417013682332</v>
      </c>
      <c r="V8" t="n">
        <v>5.808142489980444</v>
      </c>
      <c r="W8" t="n">
        <v>20.91140377906181</v>
      </c>
      <c r="X8" t="n">
        <v>14.91412284663238</v>
      </c>
    </row>
    <row r="9">
      <c r="A9" t="inlineStr">
        <is>
          <t>ENEL</t>
        </is>
      </c>
      <c r="B9" t="n">
        <v>2020</v>
      </c>
      <c r="C9" t="inlineStr">
        <is>
          <t>Utilities</t>
        </is>
      </c>
      <c r="D9" t="inlineStr">
        <is>
          <t>ITA</t>
        </is>
      </c>
      <c r="E9" t="inlineStr">
        <is>
          <t>Italy</t>
        </is>
      </c>
      <c r="F9" t="inlineStr">
        <is>
          <t>BRA</t>
        </is>
      </c>
      <c r="G9" t="inlineStr">
        <is>
          <t>Brazil</t>
        </is>
      </c>
      <c r="H9" t="n">
        <v>7337600000</v>
      </c>
      <c r="I9" t="n">
        <v>286700000</v>
      </c>
      <c r="J9" t="n">
        <v>141400000</v>
      </c>
      <c r="K9" t="n">
        <v>10137</v>
      </c>
      <c r="L9" t="n">
        <v>2602500000</v>
      </c>
      <c r="M9" t="n">
        <v>112400000</v>
      </c>
      <c r="N9" t="n">
        <v>7298100000</v>
      </c>
      <c r="O9" t="n">
        <v>39500000</v>
      </c>
      <c r="P9" t="inlineStr"/>
      <c r="Q9" t="inlineStr"/>
      <c r="R9" t="inlineStr">
        <is>
          <t>EUR</t>
        </is>
      </c>
      <c r="S9" t="n">
        <v>0.4931984652947332</v>
      </c>
      <c r="T9" t="n">
        <v>19.4739469308536</v>
      </c>
      <c r="U9" t="n">
        <v>0.2432447261690801</v>
      </c>
      <c r="V9" t="n">
        <v>9.2239473753824</v>
      </c>
      <c r="W9" t="n">
        <v>21.6797383584534</v>
      </c>
      <c r="X9" t="n">
        <v>17.49181122987135</v>
      </c>
    </row>
    <row r="10">
      <c r="A10" t="inlineStr">
        <is>
          <t>ENEL</t>
        </is>
      </c>
      <c r="B10" t="n">
        <v>2020</v>
      </c>
      <c r="C10" t="inlineStr">
        <is>
          <t>Utilities</t>
        </is>
      </c>
      <c r="D10" t="inlineStr">
        <is>
          <t>ITA</t>
        </is>
      </c>
      <c r="E10" t="inlineStr">
        <is>
          <t>Italy</t>
        </is>
      </c>
      <c r="F10" t="inlineStr">
        <is>
          <t>COL</t>
        </is>
      </c>
      <c r="G10" t="inlineStr">
        <is>
          <t>Colombia</t>
        </is>
      </c>
      <c r="H10" t="n">
        <v>2086800000</v>
      </c>
      <c r="I10" t="n">
        <v>740100000</v>
      </c>
      <c r="J10" t="n">
        <v>233100000</v>
      </c>
      <c r="K10" t="n">
        <v>2191</v>
      </c>
      <c r="L10" t="n">
        <v>3652000000</v>
      </c>
      <c r="M10" t="n">
        <v>237400000</v>
      </c>
      <c r="N10" t="n">
        <v>2079700000</v>
      </c>
      <c r="O10" t="n">
        <v>7100000</v>
      </c>
      <c r="P10" t="inlineStr"/>
      <c r="Q10" t="inlineStr"/>
      <c r="R10" t="inlineStr">
        <is>
          <t>EUR</t>
        </is>
      </c>
      <c r="S10" t="n">
        <v>0.3149574381840292</v>
      </c>
      <c r="T10" t="n">
        <v>20.42229587016769</v>
      </c>
      <c r="U10" t="n">
        <v>0.09919818786744655</v>
      </c>
      <c r="V10" t="n">
        <v>7.692113339595466</v>
      </c>
      <c r="W10" t="n">
        <v>22.01854079967913</v>
      </c>
      <c r="X10" t="n">
        <v>15.77560534201154</v>
      </c>
    </row>
    <row r="11">
      <c r="A11" t="inlineStr">
        <is>
          <t>ENEL</t>
        </is>
      </c>
      <c r="B11" t="n">
        <v>2020</v>
      </c>
      <c r="C11" t="inlineStr">
        <is>
          <t>Utilities</t>
        </is>
      </c>
      <c r="D11" t="inlineStr">
        <is>
          <t>ITA</t>
        </is>
      </c>
      <c r="E11" t="inlineStr">
        <is>
          <t>Italy</t>
        </is>
      </c>
      <c r="F11" t="inlineStr">
        <is>
          <t>ARG</t>
        </is>
      </c>
      <c r="G11" t="inlineStr">
        <is>
          <t>Argentina</t>
        </is>
      </c>
      <c r="H11" t="n">
        <v>1648900000</v>
      </c>
      <c r="I11" t="n">
        <v>140800000</v>
      </c>
      <c r="J11" t="n">
        <v>79600000</v>
      </c>
      <c r="K11" t="n">
        <v>4074</v>
      </c>
      <c r="L11" t="n">
        <v>1287700000</v>
      </c>
      <c r="M11" t="n">
        <v>52400000</v>
      </c>
      <c r="N11" t="n">
        <v>1586400000</v>
      </c>
      <c r="O11" t="n">
        <v>62500000</v>
      </c>
      <c r="P11" t="inlineStr"/>
      <c r="Q11" t="inlineStr"/>
      <c r="R11" t="inlineStr">
        <is>
          <t>EUR</t>
        </is>
      </c>
      <c r="S11" t="n">
        <v>0.5653409090909091</v>
      </c>
      <c r="T11" t="n">
        <v>18.76285100168822</v>
      </c>
      <c r="U11" t="n">
        <v>0.3196103434917355</v>
      </c>
      <c r="V11" t="n">
        <v>8.312380596786751</v>
      </c>
      <c r="W11" t="n">
        <v>20.97612351824401</v>
      </c>
      <c r="X11" t="n">
        <v>17.95067711470663</v>
      </c>
    </row>
    <row r="12">
      <c r="A12" t="inlineStr">
        <is>
          <t>ENEL</t>
        </is>
      </c>
      <c r="B12" t="n">
        <v>2020</v>
      </c>
      <c r="C12" t="inlineStr">
        <is>
          <t>Utilities</t>
        </is>
      </c>
      <c r="D12" t="inlineStr">
        <is>
          <t>ITA</t>
        </is>
      </c>
      <c r="E12" t="inlineStr">
        <is>
          <t>Italy</t>
        </is>
      </c>
      <c r="F12" t="inlineStr">
        <is>
          <t>PAN</t>
        </is>
      </c>
      <c r="G12" t="inlineStr">
        <is>
          <t>Panama</t>
        </is>
      </c>
      <c r="H12" t="n">
        <v>137200000</v>
      </c>
      <c r="I12" t="n">
        <v>83400000</v>
      </c>
      <c r="J12" t="n">
        <v>15900000</v>
      </c>
      <c r="K12" t="n">
        <v>99</v>
      </c>
      <c r="L12" t="n">
        <v>339200000</v>
      </c>
      <c r="M12" t="n">
        <v>26900000</v>
      </c>
      <c r="N12" t="n">
        <v>136700000</v>
      </c>
      <c r="O12" t="n">
        <v>500000</v>
      </c>
      <c r="P12" t="inlineStr"/>
      <c r="Q12" t="inlineStr"/>
      <c r="R12" t="inlineStr">
        <is>
          <t>EUR</t>
        </is>
      </c>
      <c r="S12" t="n">
        <v>0.1906474820143885</v>
      </c>
      <c r="T12" t="n">
        <v>18.23915886732897</v>
      </c>
      <c r="U12" t="n">
        <v>0.03634646239842659</v>
      </c>
      <c r="V12" t="n">
        <v>4.59511985013459</v>
      </c>
      <c r="W12" t="n">
        <v>19.64210046188202</v>
      </c>
      <c r="X12" t="n">
        <v>13.12236337740433</v>
      </c>
    </row>
    <row r="13">
      <c r="A13" t="inlineStr">
        <is>
          <t>ENEL</t>
        </is>
      </c>
      <c r="B13" t="n">
        <v>2020</v>
      </c>
      <c r="C13" t="inlineStr">
        <is>
          <t>Utilities</t>
        </is>
      </c>
      <c r="D13" t="inlineStr">
        <is>
          <t>ITA</t>
        </is>
      </c>
      <c r="E13" t="inlineStr">
        <is>
          <t>Italy</t>
        </is>
      </c>
      <c r="F13" t="inlineStr">
        <is>
          <t>GTM</t>
        </is>
      </c>
      <c r="G13" t="inlineStr">
        <is>
          <t>Guatemala</t>
        </is>
      </c>
      <c r="H13" t="n">
        <v>46100000</v>
      </c>
      <c r="I13" t="n">
        <v>16700000</v>
      </c>
      <c r="J13" t="n">
        <v>1900000</v>
      </c>
      <c r="K13" t="n">
        <v>86</v>
      </c>
      <c r="L13" t="n">
        <v>309800000</v>
      </c>
      <c r="M13" t="n">
        <v>2100000</v>
      </c>
      <c r="N13" t="n">
        <v>45200000</v>
      </c>
      <c r="O13" t="n">
        <v>900000</v>
      </c>
      <c r="P13" t="inlineStr"/>
      <c r="Q13" t="inlineStr"/>
      <c r="R13" t="inlineStr">
        <is>
          <t>EUR</t>
        </is>
      </c>
      <c r="S13" t="n">
        <v>0.1137724550898204</v>
      </c>
      <c r="T13" t="n">
        <v>16.63091927738698</v>
      </c>
      <c r="U13" t="n">
        <v>0.01294417153716519</v>
      </c>
      <c r="V13" t="n">
        <v>4.454347296253507</v>
      </c>
      <c r="W13" t="n">
        <v>19.55143748594704</v>
      </c>
      <c r="X13" t="n">
        <v>13.71015004230645</v>
      </c>
    </row>
    <row r="14">
      <c r="A14" t="inlineStr">
        <is>
          <t>ENEL</t>
        </is>
      </c>
      <c r="B14" t="n">
        <v>2020</v>
      </c>
      <c r="C14" t="inlineStr">
        <is>
          <t>Utilities</t>
        </is>
      </c>
      <c r="D14" t="inlineStr">
        <is>
          <t>ITA</t>
        </is>
      </c>
      <c r="E14" t="inlineStr">
        <is>
          <t>Italy</t>
        </is>
      </c>
      <c r="F14" t="inlineStr">
        <is>
          <t>CRI</t>
        </is>
      </c>
      <c r="G14" t="inlineStr">
        <is>
          <t>Costa Rica</t>
        </is>
      </c>
      <c r="H14" t="n">
        <v>22300000</v>
      </c>
      <c r="I14" t="n">
        <v>5300000</v>
      </c>
      <c r="J14" t="n">
        <v>400000</v>
      </c>
      <c r="K14" t="n">
        <v>37</v>
      </c>
      <c r="L14" t="n">
        <v>145300000</v>
      </c>
      <c r="M14" t="n">
        <v>1300000</v>
      </c>
      <c r="N14" t="n">
        <v>21900000</v>
      </c>
      <c r="O14" t="n">
        <v>400000</v>
      </c>
      <c r="P14" t="inlineStr"/>
      <c r="Q14" t="inlineStr"/>
      <c r="R14" t="inlineStr">
        <is>
          <t>EUR</t>
        </is>
      </c>
      <c r="S14" t="n">
        <v>0.07547169811320754</v>
      </c>
      <c r="T14" t="n">
        <v>15.48321737852235</v>
      </c>
      <c r="U14" t="n">
        <v>0.005695977216091135</v>
      </c>
      <c r="V14" t="n">
        <v>3.610917912644224</v>
      </c>
      <c r="W14" t="n">
        <v>18.79431112854051</v>
      </c>
      <c r="X14" t="n">
        <v>12.89921982609012</v>
      </c>
    </row>
    <row r="15">
      <c r="A15" t="inlineStr">
        <is>
          <t>ENEL</t>
        </is>
      </c>
      <c r="B15" t="n">
        <v>2020</v>
      </c>
      <c r="C15" t="inlineStr">
        <is>
          <t>Utilities</t>
        </is>
      </c>
      <c r="D15" t="inlineStr">
        <is>
          <t>ITA</t>
        </is>
      </c>
      <c r="E15" t="inlineStr">
        <is>
          <t>Italy</t>
        </is>
      </c>
      <c r="F15" t="inlineStr">
        <is>
          <t>BGR</t>
        </is>
      </c>
      <c r="G15" t="inlineStr">
        <is>
          <t>Bulgaria</t>
        </is>
      </c>
      <c r="H15" t="n">
        <v>9300000</v>
      </c>
      <c r="I15" t="n">
        <v>4100000</v>
      </c>
      <c r="J15" t="n">
        <v>400000</v>
      </c>
      <c r="K15" t="n">
        <v>6</v>
      </c>
      <c r="L15" t="n">
        <v>31400000</v>
      </c>
      <c r="M15" t="n">
        <v>400000</v>
      </c>
      <c r="N15" t="n">
        <v>9200000</v>
      </c>
      <c r="O15" t="n">
        <v>100000</v>
      </c>
      <c r="P15" t="inlineStr"/>
      <c r="Q15" t="inlineStr"/>
      <c r="R15" t="inlineStr">
        <is>
          <t>EUR</t>
        </is>
      </c>
      <c r="S15" t="n">
        <v>0.0975609756097561</v>
      </c>
      <c r="T15" t="n">
        <v>15.22649753167454</v>
      </c>
      <c r="U15" t="n">
        <v>0.009518143961927425</v>
      </c>
      <c r="V15" t="n">
        <v>1.791759469228055</v>
      </c>
      <c r="W15" t="n">
        <v>17.26231845087848</v>
      </c>
      <c r="X15" t="n">
        <v>11.51292546497023</v>
      </c>
    </row>
    <row r="16">
      <c r="A16" t="inlineStr">
        <is>
          <t>ENEL</t>
        </is>
      </c>
      <c r="B16" t="n">
        <v>2020</v>
      </c>
      <c r="C16" t="inlineStr">
        <is>
          <t>Utilities</t>
        </is>
      </c>
      <c r="D16" t="inlineStr">
        <is>
          <t>ITA</t>
        </is>
      </c>
      <c r="E16" t="inlineStr">
        <is>
          <t>Italy</t>
        </is>
      </c>
      <c r="F16" t="inlineStr">
        <is>
          <t>FRA</t>
        </is>
      </c>
      <c r="G16" t="inlineStr">
        <is>
          <t>France</t>
        </is>
      </c>
      <c r="H16" t="n">
        <v>307700000</v>
      </c>
      <c r="I16" t="n">
        <v>6700000</v>
      </c>
      <c r="J16" t="n">
        <v>1600000</v>
      </c>
      <c r="K16" t="n">
        <v>57</v>
      </c>
      <c r="L16" t="n">
        <v>23000000</v>
      </c>
      <c r="M16" t="n">
        <v>100000</v>
      </c>
      <c r="N16" t="n">
        <v>277700000</v>
      </c>
      <c r="O16" t="n">
        <v>30000000</v>
      </c>
      <c r="P16" t="inlineStr"/>
      <c r="Q16" t="inlineStr"/>
      <c r="R16" t="inlineStr">
        <is>
          <t>EUR</t>
        </is>
      </c>
      <c r="S16" t="n">
        <v>0.2388059701492537</v>
      </c>
      <c r="T16" t="n">
        <v>15.7176180843612</v>
      </c>
      <c r="U16" t="n">
        <v>0.05702829137892626</v>
      </c>
      <c r="V16" t="n">
        <v>4.04305126783455</v>
      </c>
      <c r="W16" t="n">
        <v>16.95100477389342</v>
      </c>
      <c r="X16" t="n">
        <v>17.21670793962643</v>
      </c>
    </row>
    <row r="17">
      <c r="A17" t="inlineStr">
        <is>
          <t>ENEL</t>
        </is>
      </c>
      <c r="B17" t="n">
        <v>2020</v>
      </c>
      <c r="C17" t="inlineStr">
        <is>
          <t>Utilities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260300000</v>
      </c>
      <c r="I17" t="n">
        <v>19900000</v>
      </c>
      <c r="J17" t="n">
        <v>300000</v>
      </c>
      <c r="K17" t="n">
        <v>23</v>
      </c>
      <c r="L17" t="n">
        <v>700000</v>
      </c>
      <c r="M17" t="n">
        <v>900000</v>
      </c>
      <c r="N17" t="n">
        <v>223200000</v>
      </c>
      <c r="O17" t="n">
        <v>37100000</v>
      </c>
      <c r="P17" t="inlineStr"/>
      <c r="Q17" t="inlineStr"/>
      <c r="R17" t="inlineStr">
        <is>
          <t>EUR</t>
        </is>
      </c>
      <c r="S17" t="n">
        <v>0.01507537688442211</v>
      </c>
      <c r="T17" t="n">
        <v>16.80623028969472</v>
      </c>
      <c r="U17" t="n">
        <v>0.0002272669882073685</v>
      </c>
      <c r="V17" t="n">
        <v>3.13549421592915</v>
      </c>
      <c r="W17" t="n">
        <v>13.45883561402554</v>
      </c>
      <c r="X17" t="n">
        <v>17.42912752757766</v>
      </c>
    </row>
    <row r="18">
      <c r="A18" t="inlineStr">
        <is>
          <t>ENEL</t>
        </is>
      </c>
      <c r="B18" t="n">
        <v>2020</v>
      </c>
      <c r="C18" t="inlineStr">
        <is>
          <t>Utilities</t>
        </is>
      </c>
      <c r="D18" t="inlineStr">
        <is>
          <t>ITA</t>
        </is>
      </c>
      <c r="E18" t="inlineStr">
        <is>
          <t>Italy</t>
        </is>
      </c>
      <c r="F18" t="inlineStr">
        <is>
          <t>GRC</t>
        </is>
      </c>
      <c r="G18" t="inlineStr">
        <is>
          <t>Greece</t>
        </is>
      </c>
      <c r="H18" t="n">
        <v>115500000</v>
      </c>
      <c r="I18" t="n">
        <v>27900000</v>
      </c>
      <c r="J18" t="n">
        <v>300000</v>
      </c>
      <c r="K18" t="n">
        <v>114</v>
      </c>
      <c r="L18" t="n">
        <v>628800000</v>
      </c>
      <c r="M18" t="n">
        <v>6000000</v>
      </c>
      <c r="N18" t="n">
        <v>111900000</v>
      </c>
      <c r="O18" t="n">
        <v>3600000</v>
      </c>
      <c r="P18" t="inlineStr"/>
      <c r="Q18" t="inlineStr"/>
      <c r="R18" t="inlineStr">
        <is>
          <t>EUR</t>
        </is>
      </c>
      <c r="S18" t="n">
        <v>0.01075268817204301</v>
      </c>
      <c r="T18" t="n">
        <v>17.14413724679159</v>
      </c>
      <c r="U18" t="n">
        <v>0.0001156203029251937</v>
      </c>
      <c r="V18" t="n">
        <v>4.736198448394496</v>
      </c>
      <c r="W18" t="n">
        <v>20.25932379907927</v>
      </c>
      <c r="X18" t="n">
        <v>15.09644440342634</v>
      </c>
    </row>
    <row r="19">
      <c r="A19" t="inlineStr">
        <is>
          <t>ENEL</t>
        </is>
      </c>
      <c r="B19" t="n">
        <v>2020</v>
      </c>
      <c r="C19" t="inlineStr">
        <is>
          <t>Utilities</t>
        </is>
      </c>
      <c r="D19" t="inlineStr">
        <is>
          <t>ITA</t>
        </is>
      </c>
      <c r="E19" t="inlineStr">
        <is>
          <t>Italy</t>
        </is>
      </c>
      <c r="F19" t="inlineStr">
        <is>
          <t>IRL</t>
        </is>
      </c>
      <c r="G19" t="inlineStr">
        <is>
          <t>Ireland</t>
        </is>
      </c>
      <c r="H19" t="n">
        <v>11900000</v>
      </c>
      <c r="I19" t="n">
        <v>1000000</v>
      </c>
      <c r="J19" t="n">
        <v>0</v>
      </c>
      <c r="K19" t="n">
        <v>52</v>
      </c>
      <c r="L19" t="n">
        <v>1600000</v>
      </c>
      <c r="M19" t="n">
        <v>0</v>
      </c>
      <c r="N19" t="n">
        <v>8900000</v>
      </c>
      <c r="O19" t="n">
        <v>3000000</v>
      </c>
      <c r="P19" t="inlineStr"/>
      <c r="Q19" t="inlineStr"/>
      <c r="R19" t="inlineStr">
        <is>
          <t>EUR</t>
        </is>
      </c>
      <c r="S19" t="n">
        <v>0</v>
      </c>
      <c r="T19" t="n">
        <v>13.81551055796427</v>
      </c>
      <c r="U19" t="n">
        <v>0</v>
      </c>
      <c r="V19" t="n">
        <v>3.951243718581428</v>
      </c>
      <c r="W19" t="n">
        <v>14.28551418721001</v>
      </c>
      <c r="X19" t="n">
        <v>14.91412284663238</v>
      </c>
    </row>
    <row r="20">
      <c r="A20" t="inlineStr">
        <is>
          <t>ENEL</t>
        </is>
      </c>
      <c r="B20" t="n">
        <v>2020</v>
      </c>
      <c r="C20" t="inlineStr">
        <is>
          <t>Utilities</t>
        </is>
      </c>
      <c r="D20" t="inlineStr">
        <is>
          <t>ITA</t>
        </is>
      </c>
      <c r="E20" t="inlineStr">
        <is>
          <t>Italy</t>
        </is>
      </c>
      <c r="F20" t="inlineStr">
        <is>
          <t>PRT</t>
        </is>
      </c>
      <c r="G20" t="inlineStr">
        <is>
          <t>Portugal</t>
        </is>
      </c>
      <c r="H20" t="n">
        <v>1081200000</v>
      </c>
      <c r="I20" t="n">
        <v>63600000</v>
      </c>
      <c r="J20" t="n">
        <v>10600000</v>
      </c>
      <c r="K20" t="n">
        <v>61</v>
      </c>
      <c r="L20" t="n">
        <v>16500000</v>
      </c>
      <c r="M20" t="n">
        <v>9100000</v>
      </c>
      <c r="N20" t="n">
        <v>973100000</v>
      </c>
      <c r="O20" t="n">
        <v>108100000</v>
      </c>
      <c r="P20" t="inlineStr"/>
      <c r="Q20" t="inlineStr"/>
      <c r="R20" t="inlineStr">
        <is>
          <t>EUR</t>
        </is>
      </c>
      <c r="S20" t="n">
        <v>0.1666666666666667</v>
      </c>
      <c r="T20" t="n">
        <v>17.96812402831035</v>
      </c>
      <c r="U20" t="n">
        <v>0.02777777777777778</v>
      </c>
      <c r="V20" t="n">
        <v>4.110873864173311</v>
      </c>
      <c r="W20" t="n">
        <v>16.61887093887081</v>
      </c>
      <c r="X20" t="n">
        <v>18.49856728260944</v>
      </c>
    </row>
    <row r="21">
      <c r="A21" t="inlineStr">
        <is>
          <t>ENEL</t>
        </is>
      </c>
      <c r="B21" t="n">
        <v>2020</v>
      </c>
      <c r="C21" t="inlineStr">
        <is>
          <t>Utilities</t>
        </is>
      </c>
      <c r="D21" t="inlineStr">
        <is>
          <t>ITA</t>
        </is>
      </c>
      <c r="E21" t="inlineStr">
        <is>
          <t>Italy</t>
        </is>
      </c>
      <c r="F21" t="inlineStr">
        <is>
          <t>TUR</t>
        </is>
      </c>
      <c r="G21" t="inlineStr">
        <is>
          <t>Turkey</t>
        </is>
      </c>
      <c r="H21" t="n">
        <v>2000000</v>
      </c>
      <c r="I21" t="n">
        <v>2400000</v>
      </c>
      <c r="J21" t="n">
        <v>0</v>
      </c>
      <c r="K21" t="n">
        <v>2</v>
      </c>
      <c r="L21" t="n">
        <v>100000</v>
      </c>
      <c r="M21" t="n">
        <v>0</v>
      </c>
      <c r="N21" t="n">
        <v>100000</v>
      </c>
      <c r="O21" t="n">
        <v>1900000</v>
      </c>
      <c r="P21" t="inlineStr"/>
      <c r="Q21" t="inlineStr"/>
      <c r="R21" t="inlineStr">
        <is>
          <t>EUR</t>
        </is>
      </c>
      <c r="S21" t="n">
        <v>0</v>
      </c>
      <c r="T21" t="n">
        <v>14.69097929531817</v>
      </c>
      <c r="U21" t="n">
        <v>0</v>
      </c>
      <c r="V21" t="n">
        <v>0.6931471805599453</v>
      </c>
      <c r="W21" t="n">
        <v>11.51292546497023</v>
      </c>
      <c r="X21" t="n">
        <v>14.45736444413667</v>
      </c>
    </row>
    <row r="22">
      <c r="A22" t="inlineStr">
        <is>
          <t>ENEL</t>
        </is>
      </c>
      <c r="B22" t="n">
        <v>2020</v>
      </c>
      <c r="C22" t="inlineStr">
        <is>
          <t>Utilities</t>
        </is>
      </c>
      <c r="D22" t="inlineStr">
        <is>
          <t>ITA</t>
        </is>
      </c>
      <c r="E22" t="inlineStr">
        <is>
          <t>Italy</t>
        </is>
      </c>
      <c r="F22" t="inlineStr">
        <is>
          <t>GBR</t>
        </is>
      </c>
      <c r="G22" t="inlineStr">
        <is>
          <t>United Kingdom</t>
        </is>
      </c>
      <c r="H22" t="n">
        <v>12100000</v>
      </c>
      <c r="I22" t="n">
        <v>1200000</v>
      </c>
      <c r="J22" t="n">
        <v>100000</v>
      </c>
      <c r="K22" t="n">
        <v>25</v>
      </c>
      <c r="L22" t="n">
        <v>9100000</v>
      </c>
      <c r="M22" t="n">
        <v>300000</v>
      </c>
      <c r="N22" t="n">
        <v>11100000</v>
      </c>
      <c r="O22" t="n">
        <v>1000000</v>
      </c>
      <c r="P22" t="inlineStr"/>
      <c r="Q22" t="inlineStr"/>
      <c r="R22" t="inlineStr">
        <is>
          <t>EUR</t>
        </is>
      </c>
      <c r="S22" t="n">
        <v>0.08333333333333333</v>
      </c>
      <c r="T22" t="n">
        <v>13.99783211475823</v>
      </c>
      <c r="U22" t="n">
        <v>0.006944444444444444</v>
      </c>
      <c r="V22" t="n">
        <v>3.218875824868201</v>
      </c>
      <c r="W22" t="n">
        <v>16.02378497148708</v>
      </c>
      <c r="X22" t="n">
        <v>13.81551055796427</v>
      </c>
    </row>
    <row r="23">
      <c r="A23" t="inlineStr">
        <is>
          <t>ENEL</t>
        </is>
      </c>
      <c r="B23" t="n">
        <v>2020</v>
      </c>
      <c r="C23" t="inlineStr">
        <is>
          <t>Utilities</t>
        </is>
      </c>
      <c r="D23" t="inlineStr">
        <is>
          <t>ITA</t>
        </is>
      </c>
      <c r="E23" t="inlineStr">
        <is>
          <t>Italy</t>
        </is>
      </c>
      <c r="F23" t="inlineStr">
        <is>
          <t>JPN</t>
        </is>
      </c>
      <c r="G23" t="inlineStr">
        <is>
          <t>Japan</t>
        </is>
      </c>
      <c r="H23" t="n">
        <v>8200000</v>
      </c>
      <c r="I23" t="n">
        <v>1000000</v>
      </c>
      <c r="J23" t="n">
        <v>0</v>
      </c>
      <c r="K23" t="n">
        <v>19</v>
      </c>
      <c r="L23" t="n">
        <v>300000</v>
      </c>
      <c r="M23" t="n">
        <v>0</v>
      </c>
      <c r="N23" t="n">
        <v>8000000</v>
      </c>
      <c r="O23" t="n">
        <v>200000</v>
      </c>
      <c r="P23" t="inlineStr"/>
      <c r="Q23" t="inlineStr"/>
      <c r="R23" t="inlineStr">
        <is>
          <t>EUR</t>
        </is>
      </c>
      <c r="S23" t="n">
        <v>0</v>
      </c>
      <c r="T23" t="n">
        <v>13.81551055796427</v>
      </c>
      <c r="U23" t="n">
        <v>0</v>
      </c>
      <c r="V23" t="n">
        <v>2.94443897916644</v>
      </c>
      <c r="W23" t="n">
        <v>12.61153775363834</v>
      </c>
      <c r="X23" t="n">
        <v>12.20607264553017</v>
      </c>
    </row>
    <row r="24">
      <c r="A24" t="inlineStr">
        <is>
          <t>ENEL</t>
        </is>
      </c>
      <c r="B24" t="n">
        <v>2020</v>
      </c>
      <c r="C24" t="inlineStr">
        <is>
          <t>Utilities</t>
        </is>
      </c>
      <c r="D24" t="inlineStr">
        <is>
          <t>ITA</t>
        </is>
      </c>
      <c r="E24" t="inlineStr">
        <is>
          <t>Italy</t>
        </is>
      </c>
      <c r="F24" t="inlineStr">
        <is>
          <t>IND</t>
        </is>
      </c>
      <c r="G24" t="inlineStr">
        <is>
          <t>India</t>
        </is>
      </c>
      <c r="H24" t="n">
        <v>21000000</v>
      </c>
      <c r="I24" t="n">
        <v>3700000</v>
      </c>
      <c r="J24" t="n">
        <v>100000</v>
      </c>
      <c r="K24" t="n">
        <v>322</v>
      </c>
      <c r="L24" t="n">
        <v>116000000</v>
      </c>
      <c r="M24" t="inlineStr"/>
      <c r="N24" t="n">
        <v>15100000</v>
      </c>
      <c r="O24" t="n">
        <v>5900000</v>
      </c>
      <c r="P24" t="inlineStr"/>
      <c r="Q24" t="inlineStr"/>
      <c r="R24" t="inlineStr">
        <is>
          <t>EUR</t>
        </is>
      </c>
      <c r="S24" t="n">
        <v>0.02702702702702703</v>
      </c>
      <c r="T24" t="n">
        <v>15.12384337761445</v>
      </c>
      <c r="U24" t="n">
        <v>0.0007304601899196495</v>
      </c>
      <c r="V24" t="n">
        <v>5.774551545544409</v>
      </c>
      <c r="W24" t="n">
        <v>18.56910074907064</v>
      </c>
      <c r="X24" t="n">
        <v>15.59046290887595</v>
      </c>
    </row>
    <row r="25">
      <c r="A25" t="inlineStr">
        <is>
          <t>ENEL</t>
        </is>
      </c>
      <c r="B25" t="n">
        <v>2021</v>
      </c>
      <c r="C25" t="inlineStr">
        <is>
          <t>Utilities</t>
        </is>
      </c>
      <c r="D25" t="inlineStr">
        <is>
          <t>ITA</t>
        </is>
      </c>
      <c r="E25" t="inlineStr">
        <is>
          <t>Italy</t>
        </is>
      </c>
      <c r="F25" t="inlineStr">
        <is>
          <t>GRC</t>
        </is>
      </c>
      <c r="G25" t="inlineStr">
        <is>
          <t>Greece</t>
        </is>
      </c>
      <c r="H25" t="n">
        <v>126400000</v>
      </c>
      <c r="I25" t="n">
        <v>30600000</v>
      </c>
      <c r="J25" t="n">
        <v>10200000</v>
      </c>
      <c r="K25" t="n">
        <v>112</v>
      </c>
      <c r="L25" t="n">
        <v>603900000</v>
      </c>
      <c r="M25" t="n">
        <v>9100000</v>
      </c>
      <c r="N25" t="n">
        <v>122900000</v>
      </c>
      <c r="O25" t="n">
        <v>3500000</v>
      </c>
      <c r="P25" t="n">
        <v>788500000</v>
      </c>
      <c r="Q25" t="n">
        <v>-178000000</v>
      </c>
      <c r="R25" t="inlineStr">
        <is>
          <t>EUR</t>
        </is>
      </c>
      <c r="S25" t="n">
        <v>0.3333333333333333</v>
      </c>
      <c r="T25" t="n">
        <v>17.23651056692261</v>
      </c>
      <c r="U25" t="n">
        <v>0.1111111111111111</v>
      </c>
      <c r="V25" t="n">
        <v>4.718498871295094</v>
      </c>
      <c r="W25" t="n">
        <v>20.21891917927813</v>
      </c>
      <c r="X25" t="n">
        <v>15.06827352645964</v>
      </c>
    </row>
    <row r="26">
      <c r="A26" t="inlineStr">
        <is>
          <t>ENEL</t>
        </is>
      </c>
      <c r="B26" t="n">
        <v>2021</v>
      </c>
      <c r="C26" t="inlineStr">
        <is>
          <t>Utilities</t>
        </is>
      </c>
      <c r="D26" t="inlineStr">
        <is>
          <t>ITA</t>
        </is>
      </c>
      <c r="E26" t="inlineStr">
        <is>
          <t>Italy</t>
        </is>
      </c>
      <c r="F26" t="inlineStr">
        <is>
          <t>ITA</t>
        </is>
      </c>
      <c r="G26" t="inlineStr">
        <is>
          <t>Italy</t>
        </is>
      </c>
      <c r="H26" t="n">
        <v>53007400000</v>
      </c>
      <c r="I26" t="n">
        <v>2534500000</v>
      </c>
      <c r="J26" t="n">
        <v>763400000</v>
      </c>
      <c r="K26" t="n">
        <v>30256</v>
      </c>
      <c r="L26" t="n">
        <v>28781500000</v>
      </c>
      <c r="M26" t="n">
        <v>1107200000</v>
      </c>
      <c r="N26" t="n">
        <v>43767400000</v>
      </c>
      <c r="O26" t="n">
        <v>9240000000</v>
      </c>
      <c r="P26" t="n">
        <v>43051200000</v>
      </c>
      <c r="Q26" t="n">
        <v>22782700000</v>
      </c>
      <c r="R26" t="inlineStr">
        <is>
          <t>EUR</t>
        </is>
      </c>
      <c r="S26" t="n">
        <v>0.3012033931741961</v>
      </c>
      <c r="T26" t="n">
        <v>21.65326221587668</v>
      </c>
      <c r="U26" t="n">
        <v>0.09072348405964935</v>
      </c>
      <c r="V26" t="n">
        <v>10.31744979089824</v>
      </c>
      <c r="W26" t="n">
        <v>24.08299865657491</v>
      </c>
      <c r="X26" t="n">
        <v>22.9468077226</v>
      </c>
    </row>
    <row r="27">
      <c r="A27" t="inlineStr">
        <is>
          <t>ENEL</t>
        </is>
      </c>
      <c r="B27" t="n">
        <v>2021</v>
      </c>
      <c r="C27" t="inlineStr">
        <is>
          <t>Utilities</t>
        </is>
      </c>
      <c r="D27" t="inlineStr">
        <is>
          <t>ITA</t>
        </is>
      </c>
      <c r="E27" t="inlineStr">
        <is>
          <t>Italy</t>
        </is>
      </c>
      <c r="F27" t="inlineStr">
        <is>
          <t>PRT</t>
        </is>
      </c>
      <c r="G27" t="inlineStr">
        <is>
          <t>Portugal</t>
        </is>
      </c>
      <c r="H27" t="n">
        <v>1300300000</v>
      </c>
      <c r="I27" t="n">
        <v>36000000</v>
      </c>
      <c r="J27" t="n">
        <v>10100000</v>
      </c>
      <c r="K27" t="n">
        <v>74</v>
      </c>
      <c r="L27" t="n">
        <v>33600000</v>
      </c>
      <c r="M27" t="n">
        <v>4700000</v>
      </c>
      <c r="N27" t="n">
        <v>1088500000</v>
      </c>
      <c r="O27" t="n">
        <v>211800000</v>
      </c>
      <c r="P27" t="n">
        <v>400000</v>
      </c>
      <c r="Q27" t="n">
        <v>4900000</v>
      </c>
      <c r="R27" t="inlineStr">
        <is>
          <t>EUR</t>
        </is>
      </c>
      <c r="S27" t="n">
        <v>0.2805555555555556</v>
      </c>
      <c r="T27" t="n">
        <v>17.39902949642038</v>
      </c>
      <c r="U27" t="n">
        <v>0.07871141975308642</v>
      </c>
      <c r="V27" t="n">
        <v>4.30406509320417</v>
      </c>
      <c r="W27" t="n">
        <v>17.33003662493343</v>
      </c>
      <c r="X27" t="n">
        <v>19.17115299113158</v>
      </c>
    </row>
    <row r="28">
      <c r="A28" t="inlineStr">
        <is>
          <t>ENEL</t>
        </is>
      </c>
      <c r="B28" t="n">
        <v>2021</v>
      </c>
      <c r="C28" t="inlineStr">
        <is>
          <t>Utilities</t>
        </is>
      </c>
      <c r="D28" t="inlineStr">
        <is>
          <t>ITA</t>
        </is>
      </c>
      <c r="E28" t="inlineStr">
        <is>
          <t>Italy</t>
        </is>
      </c>
      <c r="F28" t="inlineStr">
        <is>
          <t>RUS</t>
        </is>
      </c>
      <c r="G28" t="inlineStr">
        <is>
          <t>Russia</t>
        </is>
      </c>
      <c r="H28" t="n">
        <v>576500000</v>
      </c>
      <c r="I28" t="n">
        <v>39100000</v>
      </c>
      <c r="J28" t="n">
        <v>5400000</v>
      </c>
      <c r="K28" t="n">
        <v>1465</v>
      </c>
      <c r="L28" t="n">
        <v>851000000</v>
      </c>
      <c r="M28" t="n">
        <v>0</v>
      </c>
      <c r="N28" t="n">
        <v>570200000</v>
      </c>
      <c r="O28" t="n">
        <v>6300000</v>
      </c>
      <c r="P28" t="n">
        <v>996900000</v>
      </c>
      <c r="Q28" t="n">
        <v>331300000</v>
      </c>
      <c r="R28" t="inlineStr">
        <is>
          <t>EUR</t>
        </is>
      </c>
      <c r="S28" t="n">
        <v>0.1381074168797954</v>
      </c>
      <c r="T28" t="n">
        <v>17.4816330249556</v>
      </c>
      <c r="U28" t="n">
        <v>0.01907365859720959</v>
      </c>
      <c r="V28" t="n">
        <v>7.289610521451167</v>
      </c>
      <c r="W28" t="n">
        <v>20.56192268653765</v>
      </c>
      <c r="X28" t="n">
        <v>15.65606019136176</v>
      </c>
    </row>
    <row r="29">
      <c r="A29" t="inlineStr">
        <is>
          <t>ENEL</t>
        </is>
      </c>
      <c r="B29" t="n">
        <v>2021</v>
      </c>
      <c r="C29" t="inlineStr">
        <is>
          <t>Utilities</t>
        </is>
      </c>
      <c r="D29" t="inlineStr">
        <is>
          <t>ITA</t>
        </is>
      </c>
      <c r="E29" t="inlineStr">
        <is>
          <t>Italy</t>
        </is>
      </c>
      <c r="F29" t="inlineStr">
        <is>
          <t>ESP</t>
        </is>
      </c>
      <c r="G29" t="inlineStr">
        <is>
          <t>Spain</t>
        </is>
      </c>
      <c r="H29" t="n">
        <v>30341500000</v>
      </c>
      <c r="I29" t="n">
        <v>2368500000</v>
      </c>
      <c r="J29" t="n">
        <v>159900000</v>
      </c>
      <c r="K29" t="n">
        <v>9376</v>
      </c>
      <c r="L29" t="n">
        <v>24142500000</v>
      </c>
      <c r="M29" t="n">
        <v>227000000</v>
      </c>
      <c r="N29" t="n">
        <v>25415000000</v>
      </c>
      <c r="O29" t="n">
        <v>4926500000</v>
      </c>
      <c r="P29" t="n">
        <v>20934500000</v>
      </c>
      <c r="Q29" t="n">
        <v>31937900000</v>
      </c>
      <c r="R29" t="inlineStr">
        <is>
          <t>EUR</t>
        </is>
      </c>
      <c r="S29" t="n">
        <v>0.06751108296390121</v>
      </c>
      <c r="T29" t="n">
        <v>21.58552268032808</v>
      </c>
      <c r="U29" t="n">
        <v>0.004557746322958752</v>
      </c>
      <c r="V29" t="n">
        <v>9.145908511816794</v>
      </c>
      <c r="W29" t="n">
        <v>23.90723960980535</v>
      </c>
      <c r="X29" t="n">
        <v>22.3178946337268</v>
      </c>
    </row>
    <row r="30">
      <c r="A30" t="inlineStr">
        <is>
          <t>ENEL</t>
        </is>
      </c>
      <c r="B30" t="n">
        <v>2021</v>
      </c>
      <c r="C30" t="inlineStr">
        <is>
          <t>Utilities</t>
        </is>
      </c>
      <c r="D30" t="inlineStr">
        <is>
          <t>ITA</t>
        </is>
      </c>
      <c r="E30" t="inlineStr">
        <is>
          <t>Italy</t>
        </is>
      </c>
      <c r="F30" t="inlineStr">
        <is>
          <t>OTHER</t>
        </is>
      </c>
      <c r="G30" t="inlineStr">
        <is>
          <t>USA and Canada</t>
        </is>
      </c>
      <c r="H30" t="n">
        <v>1477500000</v>
      </c>
      <c r="I30" t="n">
        <v>124800000</v>
      </c>
      <c r="J30" t="n">
        <v>1400000</v>
      </c>
      <c r="K30" t="n">
        <v>1558</v>
      </c>
      <c r="L30" t="n">
        <v>10069500000</v>
      </c>
      <c r="M30" t="n">
        <v>-6300000</v>
      </c>
      <c r="N30" t="n">
        <v>1457600000</v>
      </c>
      <c r="O30" t="n">
        <v>19900000</v>
      </c>
      <c r="P30" t="n">
        <v>15798600000</v>
      </c>
      <c r="Q30" t="n">
        <v>937900000</v>
      </c>
      <c r="R30" t="inlineStr">
        <is>
          <t>EUR</t>
        </is>
      </c>
      <c r="S30" t="n">
        <v>0.01121794871794872</v>
      </c>
      <c r="T30" t="n">
        <v>18.6422230138996</v>
      </c>
      <c r="U30" t="n">
        <v>0.0001258423734385273</v>
      </c>
      <c r="V30" t="n">
        <v>7.351158226430694</v>
      </c>
      <c r="W30" t="n">
        <v>23.03277689001119</v>
      </c>
      <c r="X30" t="n">
        <v>16.80623028969472</v>
      </c>
    </row>
    <row r="31">
      <c r="A31" t="inlineStr">
        <is>
          <t>ENEL</t>
        </is>
      </c>
      <c r="B31" t="n">
        <v>2021</v>
      </c>
      <c r="C31" t="inlineStr">
        <is>
          <t>Utilities</t>
        </is>
      </c>
      <c r="D31" t="inlineStr">
        <is>
          <t>ITA</t>
        </is>
      </c>
      <c r="E31" t="inlineStr">
        <is>
          <t>Italy</t>
        </is>
      </c>
      <c r="F31" t="inlineStr">
        <is>
          <t>BRA</t>
        </is>
      </c>
      <c r="G31" t="inlineStr">
        <is>
          <t>Brazil</t>
        </is>
      </c>
      <c r="H31" t="n">
        <v>9929400000</v>
      </c>
      <c r="I31" t="n">
        <v>498800000</v>
      </c>
      <c r="J31" t="n">
        <v>199200000</v>
      </c>
      <c r="K31" t="n">
        <v>8966</v>
      </c>
      <c r="L31" t="n">
        <v>3328800000</v>
      </c>
      <c r="M31" t="n">
        <v>159800000</v>
      </c>
      <c r="N31" t="n">
        <v>9905700000</v>
      </c>
      <c r="O31" t="n">
        <v>23700000</v>
      </c>
      <c r="P31" t="n">
        <v>10842700000</v>
      </c>
      <c r="Q31" t="n">
        <v>2129700000</v>
      </c>
      <c r="R31" t="inlineStr">
        <is>
          <t>EUR</t>
        </is>
      </c>
      <c r="S31" t="n">
        <v>0.3993584603047314</v>
      </c>
      <c r="T31" t="n">
        <v>20.02771577177015</v>
      </c>
      <c r="U31" t="n">
        <v>0.1594871798169657</v>
      </c>
      <c r="V31" t="n">
        <v>9.101194924715385</v>
      </c>
      <c r="W31" t="n">
        <v>21.92587771563301</v>
      </c>
      <c r="X31" t="n">
        <v>16.98098560610536</v>
      </c>
    </row>
    <row r="32">
      <c r="A32" t="inlineStr">
        <is>
          <t>ENEL</t>
        </is>
      </c>
      <c r="B32" t="n">
        <v>2021</v>
      </c>
      <c r="C32" t="inlineStr">
        <is>
          <t>Utilities</t>
        </is>
      </c>
      <c r="D32" t="inlineStr">
        <is>
          <t>ITA</t>
        </is>
      </c>
      <c r="E32" t="inlineStr">
        <is>
          <t>Italy</t>
        </is>
      </c>
      <c r="F32" t="inlineStr">
        <is>
          <t>COL</t>
        </is>
      </c>
      <c r="G32" t="inlineStr">
        <is>
          <t>Colombia</t>
        </is>
      </c>
      <c r="H32" t="n">
        <v>2248400000</v>
      </c>
      <c r="I32" t="n">
        <v>875400000</v>
      </c>
      <c r="J32" t="n">
        <v>249200000</v>
      </c>
      <c r="K32" t="n">
        <v>2256</v>
      </c>
      <c r="L32" t="n">
        <v>3675100000</v>
      </c>
      <c r="M32" t="n">
        <v>261400000</v>
      </c>
      <c r="N32" t="n">
        <v>2247200000</v>
      </c>
      <c r="O32" t="n">
        <v>1200000</v>
      </c>
      <c r="P32" t="n">
        <v>512400000</v>
      </c>
      <c r="Q32" t="n">
        <v>1938400000</v>
      </c>
      <c r="R32" t="inlineStr">
        <is>
          <t>EUR</t>
        </is>
      </c>
      <c r="S32" t="n">
        <v>0.284669865204478</v>
      </c>
      <c r="T32" t="n">
        <v>20.59019148272107</v>
      </c>
      <c r="U32" t="n">
        <v>0.08103693215553565</v>
      </c>
      <c r="V32" t="n">
        <v>7.721348612617949</v>
      </c>
      <c r="W32" t="n">
        <v>22.02484618012535</v>
      </c>
      <c r="X32" t="n">
        <v>13.99783211475823</v>
      </c>
    </row>
    <row r="33">
      <c r="A33" t="inlineStr">
        <is>
          <t>ENEL</t>
        </is>
      </c>
      <c r="B33" t="n">
        <v>2021</v>
      </c>
      <c r="C33" t="inlineStr">
        <is>
          <t>Utilities</t>
        </is>
      </c>
      <c r="D33" t="inlineStr">
        <is>
          <t>ITA</t>
        </is>
      </c>
      <c r="E33" t="inlineStr">
        <is>
          <t>Italy</t>
        </is>
      </c>
      <c r="F33" t="inlineStr">
        <is>
          <t>GTM</t>
        </is>
      </c>
      <c r="G33" t="inlineStr">
        <is>
          <t>Guatemala</t>
        </is>
      </c>
      <c r="H33" t="n">
        <v>79000000</v>
      </c>
      <c r="I33" t="n">
        <v>25000000</v>
      </c>
      <c r="J33" t="n">
        <v>2300000</v>
      </c>
      <c r="K33" t="n">
        <v>94</v>
      </c>
      <c r="L33" t="n">
        <v>340000000</v>
      </c>
      <c r="M33" t="n">
        <v>2300000</v>
      </c>
      <c r="N33" t="n">
        <v>78800000</v>
      </c>
      <c r="O33" t="n">
        <v>200000</v>
      </c>
      <c r="P33" t="n">
        <v>248900000</v>
      </c>
      <c r="Q33" t="n">
        <v>189600000</v>
      </c>
      <c r="R33" t="inlineStr">
        <is>
          <t>EUR</t>
        </is>
      </c>
      <c r="S33" t="n">
        <v>0.092</v>
      </c>
      <c r="T33" t="n">
        <v>17.03438638283248</v>
      </c>
      <c r="U33" t="n">
        <v>0.008463999999999999</v>
      </c>
      <c r="V33" t="n">
        <v>4.543294782270004</v>
      </c>
      <c r="W33" t="n">
        <v>19.64445617557448</v>
      </c>
      <c r="X33" t="n">
        <v>12.20607264553017</v>
      </c>
    </row>
    <row r="34">
      <c r="A34" t="inlineStr">
        <is>
          <t>ENEL</t>
        </is>
      </c>
      <c r="B34" t="n">
        <v>2021</v>
      </c>
      <c r="C34" t="inlineStr">
        <is>
          <t>Utilities</t>
        </is>
      </c>
      <c r="D34" t="inlineStr">
        <is>
          <t>ITA</t>
        </is>
      </c>
      <c r="E34" t="inlineStr">
        <is>
          <t>Italy</t>
        </is>
      </c>
      <c r="F34" t="inlineStr">
        <is>
          <t>PAN</t>
        </is>
      </c>
      <c r="G34" t="inlineStr">
        <is>
          <t>Panama</t>
        </is>
      </c>
      <c r="H34" t="n">
        <v>154700000</v>
      </c>
      <c r="I34" t="n">
        <v>108900000</v>
      </c>
      <c r="J34" t="n">
        <v>26900000</v>
      </c>
      <c r="K34" t="n">
        <v>94</v>
      </c>
      <c r="L34" t="n">
        <v>389300000</v>
      </c>
      <c r="M34" t="n">
        <v>37900000</v>
      </c>
      <c r="N34" t="n">
        <v>154400000</v>
      </c>
      <c r="O34" t="n">
        <v>300000</v>
      </c>
      <c r="P34" t="n">
        <v>372200000</v>
      </c>
      <c r="Q34" t="n">
        <v>173600000</v>
      </c>
      <c r="R34" t="inlineStr">
        <is>
          <t>EUR</t>
        </is>
      </c>
      <c r="S34" t="n">
        <v>0.2470156106519743</v>
      </c>
      <c r="T34" t="n">
        <v>18.50594058790319</v>
      </c>
      <c r="U34" t="n">
        <v>0.06101671190576775</v>
      </c>
      <c r="V34" t="n">
        <v>4.543294782270004</v>
      </c>
      <c r="W34" t="n">
        <v>19.77986081258068</v>
      </c>
      <c r="X34" t="n">
        <v>12.61153775363834</v>
      </c>
    </row>
    <row r="35">
      <c r="A35" t="inlineStr">
        <is>
          <t>ENEL</t>
        </is>
      </c>
      <c r="B35" t="n">
        <v>2021</v>
      </c>
      <c r="C35" t="inlineStr">
        <is>
          <t>Utilities</t>
        </is>
      </c>
      <c r="D35" t="inlineStr">
        <is>
          <t>ITA</t>
        </is>
      </c>
      <c r="E35" t="inlineStr">
        <is>
          <t>Italy</t>
        </is>
      </c>
      <c r="F35" t="inlineStr">
        <is>
          <t>IRL</t>
        </is>
      </c>
      <c r="G35" t="inlineStr">
        <is>
          <t>Ireland</t>
        </is>
      </c>
      <c r="H35" t="n">
        <v>13200000</v>
      </c>
      <c r="I35" t="n">
        <v>700000</v>
      </c>
      <c r="J35" t="n">
        <v>0</v>
      </c>
      <c r="K35" t="n">
        <v>51</v>
      </c>
      <c r="L35" t="n">
        <v>900000</v>
      </c>
      <c r="M35" t="inlineStr"/>
      <c r="N35" t="n">
        <v>9500000</v>
      </c>
      <c r="O35" t="n">
        <v>3700000</v>
      </c>
      <c r="P35" t="n">
        <v>2900000</v>
      </c>
      <c r="Q35" t="n">
        <v>22200000</v>
      </c>
      <c r="R35" t="inlineStr">
        <is>
          <t>EUR</t>
        </is>
      </c>
      <c r="S35" t="n">
        <v>0</v>
      </c>
      <c r="T35" t="n">
        <v>13.45883561402554</v>
      </c>
      <c r="U35" t="n">
        <v>0</v>
      </c>
      <c r="V35" t="n">
        <v>3.931825632724326</v>
      </c>
      <c r="W35" t="n">
        <v>13.71015004230645</v>
      </c>
      <c r="X35" t="n">
        <v>15.12384337761445</v>
      </c>
    </row>
    <row r="36">
      <c r="A36" t="inlineStr">
        <is>
          <t>ENEL</t>
        </is>
      </c>
      <c r="B36" t="n">
        <v>2021</v>
      </c>
      <c r="C36" t="inlineStr">
        <is>
          <t>Utilities</t>
        </is>
      </c>
      <c r="D36" t="inlineStr">
        <is>
          <t>ITA</t>
        </is>
      </c>
      <c r="E36" t="inlineStr">
        <is>
          <t>Italy</t>
        </is>
      </c>
      <c r="F36" t="inlineStr">
        <is>
          <t>NZL</t>
        </is>
      </c>
      <c r="G36" t="inlineStr">
        <is>
          <t>New Zealand</t>
        </is>
      </c>
      <c r="H36" t="n">
        <v>6500000</v>
      </c>
      <c r="I36" t="n">
        <v>400000</v>
      </c>
      <c r="J36" t="n">
        <v>300000</v>
      </c>
      <c r="K36" t="n">
        <v>5</v>
      </c>
      <c r="L36" t="n">
        <v>100000</v>
      </c>
      <c r="M36" t="n">
        <v>100000</v>
      </c>
      <c r="N36" t="n">
        <v>6000000</v>
      </c>
      <c r="O36" t="n">
        <v>500000</v>
      </c>
      <c r="P36" t="n">
        <v>2000000</v>
      </c>
      <c r="Q36" t="n">
        <v>-600000</v>
      </c>
      <c r="R36" t="inlineStr">
        <is>
          <t>EUR</t>
        </is>
      </c>
      <c r="S36" t="n">
        <v>0.75</v>
      </c>
      <c r="T36" t="n">
        <v>12.89921982609012</v>
      </c>
      <c r="U36" t="n">
        <v>0.5625</v>
      </c>
      <c r="V36" t="n">
        <v>1.6094379124341</v>
      </c>
      <c r="W36" t="n">
        <v>11.51292546497023</v>
      </c>
      <c r="X36" t="n">
        <v>13.12236337740433</v>
      </c>
    </row>
    <row r="37">
      <c r="A37" t="inlineStr">
        <is>
          <t>ERG</t>
        </is>
      </c>
      <c r="B37" t="n">
        <v>2020</v>
      </c>
      <c r="C37" t="inlineStr">
        <is>
          <t>Utilities</t>
        </is>
      </c>
      <c r="D37" t="inlineStr">
        <is>
          <t>ITA</t>
        </is>
      </c>
      <c r="E37" t="inlineStr">
        <is>
          <t>Italy</t>
        </is>
      </c>
      <c r="F37" t="inlineStr">
        <is>
          <t>ITA</t>
        </is>
      </c>
      <c r="G37" t="inlineStr">
        <is>
          <t>Italy</t>
        </is>
      </c>
      <c r="H37" t="n">
        <v>800000000</v>
      </c>
      <c r="I37" t="n">
        <v>108000000</v>
      </c>
      <c r="J37" t="n">
        <v>20500000</v>
      </c>
      <c r="K37" t="n">
        <v>685</v>
      </c>
      <c r="L37" t="n">
        <v>1464000000</v>
      </c>
      <c r="M37" t="n">
        <v>35300000</v>
      </c>
      <c r="N37" t="n">
        <v>799000000</v>
      </c>
      <c r="O37" t="n">
        <v>1000000</v>
      </c>
      <c r="P37" t="inlineStr"/>
      <c r="Q37" t="inlineStr"/>
      <c r="R37" t="inlineStr">
        <is>
          <t>EUR</t>
        </is>
      </c>
      <c r="S37" t="n">
        <v>0.1898148148148148</v>
      </c>
      <c r="T37" t="n">
        <v>18.49764178508849</v>
      </c>
      <c r="U37" t="n">
        <v>0.03602966392318244</v>
      </c>
      <c r="V37" t="n">
        <v>6.529418838262226</v>
      </c>
      <c r="W37" t="n">
        <v>21.10443825248553</v>
      </c>
      <c r="X37" t="n">
        <v>13.81551055796427</v>
      </c>
    </row>
    <row r="38">
      <c r="A38" t="inlineStr">
        <is>
          <t>FALCK RENEWABLES</t>
        </is>
      </c>
      <c r="B38" t="n">
        <v>2020</v>
      </c>
      <c r="C38" t="inlineStr">
        <is>
          <t>Utilities</t>
        </is>
      </c>
      <c r="D38" t="inlineStr">
        <is>
          <t>ITA</t>
        </is>
      </c>
      <c r="E38" t="inlineStr">
        <is>
          <t>Italy</t>
        </is>
      </c>
      <c r="F38" t="inlineStr">
        <is>
          <t>FRA</t>
        </is>
      </c>
      <c r="G38" t="inlineStr">
        <is>
          <t>France</t>
        </is>
      </c>
      <c r="H38" t="n">
        <v>21073128</v>
      </c>
      <c r="I38" t="n">
        <v>7634937</v>
      </c>
      <c r="J38" t="n">
        <v>1055966</v>
      </c>
      <c r="K38" t="n">
        <v>8</v>
      </c>
      <c r="L38" t="n">
        <v>210343218</v>
      </c>
      <c r="M38" t="n">
        <v>1660626</v>
      </c>
      <c r="N38" t="n">
        <v>20196102</v>
      </c>
      <c r="O38" t="n">
        <v>877026</v>
      </c>
      <c r="P38" t="n">
        <v>32692738</v>
      </c>
      <c r="Q38" t="n">
        <v>-23703995</v>
      </c>
      <c r="R38" t="inlineStr">
        <is>
          <t>EUR</t>
        </is>
      </c>
      <c r="S38" t="n">
        <v>0.1383071006348841</v>
      </c>
      <c r="T38" t="n">
        <v>15.84824524512735</v>
      </c>
      <c r="U38" t="n">
        <v>0.01912885408602795</v>
      </c>
      <c r="V38" t="n">
        <v>2.079441541679836</v>
      </c>
      <c r="W38" t="n">
        <v>19.16425112597878</v>
      </c>
      <c r="X38" t="n">
        <v>13.68429191743711</v>
      </c>
    </row>
    <row r="39">
      <c r="A39" t="inlineStr">
        <is>
          <t>FALCK RENEWABLES</t>
        </is>
      </c>
      <c r="B39" t="n">
        <v>2020</v>
      </c>
      <c r="C39" t="inlineStr">
        <is>
          <t>Utilities</t>
        </is>
      </c>
      <c r="D39" t="inlineStr">
        <is>
          <t>ITA</t>
        </is>
      </c>
      <c r="E39" t="inlineStr">
        <is>
          <t>Italy</t>
        </is>
      </c>
      <c r="F39" t="inlineStr">
        <is>
          <t>ITA</t>
        </is>
      </c>
      <c r="G39" t="inlineStr">
        <is>
          <t>Italy</t>
        </is>
      </c>
      <c r="H39" t="n">
        <v>288187093</v>
      </c>
      <c r="I39" t="n">
        <v>76825453</v>
      </c>
      <c r="J39" t="n">
        <v>4864607</v>
      </c>
      <c r="K39" t="n">
        <v>363</v>
      </c>
      <c r="L39" t="n">
        <v>382620235</v>
      </c>
      <c r="M39" t="n">
        <v>2475117</v>
      </c>
      <c r="N39" t="n">
        <v>236018321</v>
      </c>
      <c r="O39" t="n">
        <v>52168772</v>
      </c>
      <c r="P39" t="n">
        <v>324113420</v>
      </c>
      <c r="Q39" t="n">
        <v>156663184</v>
      </c>
      <c r="R39" t="inlineStr">
        <is>
          <t>EUR</t>
        </is>
      </c>
      <c r="S39" t="n">
        <v>0.06332025142760954</v>
      </c>
      <c r="T39" t="n">
        <v>18.1570465624815</v>
      </c>
      <c r="U39" t="n">
        <v>0.004009454240855688</v>
      </c>
      <c r="V39" t="n">
        <v>5.89440283426485</v>
      </c>
      <c r="W39" t="n">
        <v>19.76255350170572</v>
      </c>
      <c r="X39" t="n">
        <v>17.76999463628949</v>
      </c>
    </row>
    <row r="40">
      <c r="A40" t="inlineStr">
        <is>
          <t>FALCK RENEWABLES</t>
        </is>
      </c>
      <c r="B40" t="n">
        <v>2020</v>
      </c>
      <c r="C40" t="inlineStr">
        <is>
          <t>Utilities</t>
        </is>
      </c>
      <c r="D40" t="inlineStr">
        <is>
          <t>ITA</t>
        </is>
      </c>
      <c r="E40" t="inlineStr">
        <is>
          <t>Italy</t>
        </is>
      </c>
      <c r="F40" t="inlineStr">
        <is>
          <t>JPN</t>
        </is>
      </c>
      <c r="G40" t="inlineStr">
        <is>
          <t>Japan</t>
        </is>
      </c>
      <c r="H40" t="n">
        <v>4379033</v>
      </c>
      <c r="I40" t="n">
        <v>681297</v>
      </c>
      <c r="J40" t="n">
        <v>331544</v>
      </c>
      <c r="K40" t="n">
        <v>31</v>
      </c>
      <c r="L40" t="n">
        <v>70383</v>
      </c>
      <c r="M40" t="n">
        <v>393019</v>
      </c>
      <c r="N40" t="n">
        <v>4323237</v>
      </c>
      <c r="O40" t="n">
        <v>55796</v>
      </c>
      <c r="P40" t="n">
        <v>7906</v>
      </c>
      <c r="Q40" t="n">
        <v>1003968</v>
      </c>
      <c r="R40" t="inlineStr">
        <is>
          <t>EUR</t>
        </is>
      </c>
      <c r="S40" t="n">
        <v>0.4866365182879126</v>
      </c>
      <c r="T40" t="n">
        <v>13.43175361340552</v>
      </c>
      <c r="U40" t="n">
        <v>0.2368151009313819</v>
      </c>
      <c r="V40" t="n">
        <v>3.433987204485146</v>
      </c>
      <c r="W40" t="n">
        <v>11.16170703571307</v>
      </c>
      <c r="X40" t="n">
        <v>10.92945746121213</v>
      </c>
    </row>
    <row r="41">
      <c r="A41" t="inlineStr">
        <is>
          <t>FALCK RENEWABLES</t>
        </is>
      </c>
      <c r="B41" t="n">
        <v>2020</v>
      </c>
      <c r="C41" t="inlineStr">
        <is>
          <t>Utilities</t>
        </is>
      </c>
      <c r="D41" t="inlineStr">
        <is>
          <t>ITA</t>
        </is>
      </c>
      <c r="E41" t="inlineStr">
        <is>
          <t>Italy</t>
        </is>
      </c>
      <c r="F41" t="inlineStr">
        <is>
          <t>GBR</t>
        </is>
      </c>
      <c r="G41" t="inlineStr">
        <is>
          <t>United Kingdom</t>
        </is>
      </c>
      <c r="H41" t="n">
        <v>143105347</v>
      </c>
      <c r="I41" t="n">
        <v>87268500</v>
      </c>
      <c r="J41" t="n">
        <v>14307643</v>
      </c>
      <c r="K41" t="n">
        <v>29</v>
      </c>
      <c r="L41" t="n">
        <v>350158761</v>
      </c>
      <c r="M41" t="n">
        <v>9592561</v>
      </c>
      <c r="N41" t="n">
        <v>135103389</v>
      </c>
      <c r="O41" t="n">
        <v>8001958</v>
      </c>
      <c r="P41" t="n">
        <v>75559659</v>
      </c>
      <c r="Q41" t="n">
        <v>245836068</v>
      </c>
      <c r="R41" t="inlineStr">
        <is>
          <t>EUR</t>
        </is>
      </c>
      <c r="S41" t="n">
        <v>0.1639496840211531</v>
      </c>
      <c r="T41" t="n">
        <v>18.28450013095465</v>
      </c>
      <c r="U41" t="n">
        <v>0.02687949889063595</v>
      </c>
      <c r="V41" t="n">
        <v>3.367295829986474</v>
      </c>
      <c r="W41" t="n">
        <v>19.6738972124582</v>
      </c>
      <c r="X41" t="n">
        <v>15.89519681969771</v>
      </c>
    </row>
    <row r="42">
      <c r="A42" t="inlineStr">
        <is>
          <t>FALCK RENEWABLES</t>
        </is>
      </c>
      <c r="B42" t="n">
        <v>2020</v>
      </c>
      <c r="C42" t="inlineStr">
        <is>
          <t>Utilities</t>
        </is>
      </c>
      <c r="D42" t="inlineStr">
        <is>
          <t>ITA</t>
        </is>
      </c>
      <c r="E42" t="inlineStr">
        <is>
          <t>Italy</t>
        </is>
      </c>
      <c r="F42" t="inlineStr">
        <is>
          <t>USA</t>
        </is>
      </c>
      <c r="G42" t="inlineStr">
        <is>
          <t>United States of America</t>
        </is>
      </c>
      <c r="H42" t="n">
        <v>36213105</v>
      </c>
      <c r="I42" t="n">
        <v>4386799</v>
      </c>
      <c r="J42" t="n">
        <v>0</v>
      </c>
      <c r="K42" t="n">
        <v>13</v>
      </c>
      <c r="L42" t="n">
        <v>402132582</v>
      </c>
      <c r="M42" t="n">
        <v>730377</v>
      </c>
      <c r="N42" t="n">
        <v>5521927</v>
      </c>
      <c r="O42" t="n">
        <v>30691178</v>
      </c>
      <c r="P42" t="n">
        <v>307770581</v>
      </c>
      <c r="Q42" t="n">
        <v>3043026</v>
      </c>
      <c r="R42" t="inlineStr">
        <is>
          <t>EUR</t>
        </is>
      </c>
      <c r="S42" t="n">
        <v>0</v>
      </c>
      <c r="T42" t="n">
        <v>15.29411036191157</v>
      </c>
      <c r="U42" t="n">
        <v>0</v>
      </c>
      <c r="V42" t="n">
        <v>2.564949357461537</v>
      </c>
      <c r="W42" t="n">
        <v>19.81229239817941</v>
      </c>
      <c r="X42" t="n">
        <v>17.23948580969766</v>
      </c>
    </row>
    <row r="43">
      <c r="A43" t="inlineStr">
        <is>
          <t>SGR</t>
        </is>
      </c>
      <c r="B43" t="n">
        <v>2018</v>
      </c>
      <c r="C43" t="inlineStr">
        <is>
          <t>Utilities</t>
        </is>
      </c>
      <c r="D43" t="inlineStr">
        <is>
          <t>ITA</t>
        </is>
      </c>
      <c r="E43" t="inlineStr">
        <is>
          <t>Italy</t>
        </is>
      </c>
      <c r="F43" t="inlineStr">
        <is>
          <t>ITA</t>
        </is>
      </c>
      <c r="G43" t="inlineStr">
        <is>
          <t>Italy</t>
        </is>
      </c>
      <c r="H43" t="n">
        <v>342199773</v>
      </c>
      <c r="I43" t="n">
        <v>31066774</v>
      </c>
      <c r="J43" t="n">
        <v>11088582</v>
      </c>
      <c r="K43" t="n">
        <v>386</v>
      </c>
      <c r="L43" t="n">
        <v>104518720</v>
      </c>
      <c r="M43" t="n">
        <v>9603825</v>
      </c>
      <c r="N43" t="n">
        <v>341683891</v>
      </c>
      <c r="O43" t="n">
        <v>515882</v>
      </c>
      <c r="P43" t="inlineStr"/>
      <c r="Q43" t="inlineStr"/>
      <c r="R43" t="inlineStr">
        <is>
          <t>EUR</t>
        </is>
      </c>
      <c r="S43" t="n">
        <v>0.3569273719891225</v>
      </c>
      <c r="T43" t="n">
        <v>17.25164944591737</v>
      </c>
      <c r="U43" t="n">
        <v>0.1273971488750614</v>
      </c>
      <c r="V43" t="n">
        <v>5.955837369464831</v>
      </c>
      <c r="W43" t="n">
        <v>18.46487675208169</v>
      </c>
      <c r="X43" t="n">
        <v>13.1536333361414</v>
      </c>
    </row>
    <row r="44">
      <c r="A44" t="inlineStr">
        <is>
          <t>SGR</t>
        </is>
      </c>
      <c r="B44" t="n">
        <v>2019</v>
      </c>
      <c r="C44" t="inlineStr">
        <is>
          <t>Utilities</t>
        </is>
      </c>
      <c r="D44" t="inlineStr">
        <is>
          <t>ITA</t>
        </is>
      </c>
      <c r="E44" t="inlineStr">
        <is>
          <t>Italy</t>
        </is>
      </c>
      <c r="F44" t="inlineStr">
        <is>
          <t>ITA</t>
        </is>
      </c>
      <c r="G44" t="inlineStr">
        <is>
          <t>Italy</t>
        </is>
      </c>
      <c r="H44" t="n">
        <v>424175791</v>
      </c>
      <c r="I44" t="n">
        <v>35153290</v>
      </c>
      <c r="J44" t="n">
        <v>7680270</v>
      </c>
      <c r="K44" t="n">
        <v>392</v>
      </c>
      <c r="L44" t="n">
        <v>109495296</v>
      </c>
      <c r="M44" t="n">
        <v>9625692</v>
      </c>
      <c r="N44" t="n">
        <v>423875765</v>
      </c>
      <c r="O44" t="n">
        <v>300026</v>
      </c>
      <c r="P44" t="inlineStr"/>
      <c r="Q44" t="inlineStr"/>
      <c r="R44" t="inlineStr">
        <is>
          <t>EUR</t>
        </is>
      </c>
      <c r="S44" t="n">
        <v>0.218479408328495</v>
      </c>
      <c r="T44" t="n">
        <v>17.37522877070287</v>
      </c>
      <c r="U44" t="n">
        <v>0.04773325186356925</v>
      </c>
      <c r="V44" t="n">
        <v>5.971261839790462</v>
      </c>
      <c r="W44" t="n">
        <v>18.51139214739396</v>
      </c>
      <c r="X44" t="n">
        <v>12.61162441654967</v>
      </c>
    </row>
    <row r="45">
      <c r="A45" t="inlineStr">
        <is>
          <t>SGR</t>
        </is>
      </c>
      <c r="B45" t="n">
        <v>2020</v>
      </c>
      <c r="C45" t="inlineStr">
        <is>
          <t>Utilities</t>
        </is>
      </c>
      <c r="D45" t="inlineStr">
        <is>
          <t>ITA</t>
        </is>
      </c>
      <c r="E45" t="inlineStr">
        <is>
          <t>Italy</t>
        </is>
      </c>
      <c r="F45" t="inlineStr">
        <is>
          <t>ITA</t>
        </is>
      </c>
      <c r="G45" t="inlineStr">
        <is>
          <t>Italy</t>
        </is>
      </c>
      <c r="H45" t="n">
        <v>373927340</v>
      </c>
      <c r="I45" t="n">
        <v>33372192</v>
      </c>
      <c r="J45" t="n">
        <v>10309532</v>
      </c>
      <c r="K45" t="n">
        <v>432</v>
      </c>
      <c r="L45" t="n">
        <v>176103029</v>
      </c>
      <c r="M45" t="n">
        <v>7724633</v>
      </c>
      <c r="N45" t="n">
        <v>370735337</v>
      </c>
      <c r="O45" t="n">
        <v>3192003</v>
      </c>
      <c r="P45" t="inlineStr"/>
      <c r="Q45" t="inlineStr"/>
      <c r="R45" t="inlineStr">
        <is>
          <t>EUR</t>
        </is>
      </c>
      <c r="S45" t="n">
        <v>0.3089258266283497</v>
      </c>
      <c r="T45" t="n">
        <v>17.32323353631369</v>
      </c>
      <c r="U45" t="n">
        <v>0.09543516635800919</v>
      </c>
      <c r="V45" t="n">
        <v>6.068425588244111</v>
      </c>
      <c r="W45" t="n">
        <v>18.9865797737728</v>
      </c>
      <c r="X45" t="n">
        <v>14.97615917740102</v>
      </c>
    </row>
    <row r="46">
      <c r="A46" t="inlineStr">
        <is>
          <t>SGR</t>
        </is>
      </c>
      <c r="B46" t="n">
        <v>2021</v>
      </c>
      <c r="C46" t="inlineStr">
        <is>
          <t>Utilities</t>
        </is>
      </c>
      <c r="D46" t="inlineStr">
        <is>
          <t>ITA</t>
        </is>
      </c>
      <c r="E46" t="inlineStr">
        <is>
          <t>Italy</t>
        </is>
      </c>
      <c r="F46" t="inlineStr">
        <is>
          <t>ITA</t>
        </is>
      </c>
      <c r="G46" t="inlineStr">
        <is>
          <t>Italy</t>
        </is>
      </c>
      <c r="H46" t="n">
        <v>530717278</v>
      </c>
      <c r="I46" t="n">
        <v>28372324</v>
      </c>
      <c r="J46" t="n">
        <v>6109793</v>
      </c>
      <c r="K46" t="n">
        <v>467</v>
      </c>
      <c r="L46" t="n">
        <v>175426238</v>
      </c>
      <c r="M46" t="n">
        <v>6752345</v>
      </c>
      <c r="N46" t="n">
        <v>526858985</v>
      </c>
      <c r="O46" t="n">
        <v>3858293</v>
      </c>
      <c r="P46" t="inlineStr"/>
      <c r="Q46" t="inlineStr"/>
      <c r="R46" t="inlineStr">
        <is>
          <t>EUR</t>
        </is>
      </c>
      <c r="S46" t="n">
        <v>0.2153434100075834</v>
      </c>
      <c r="T46" t="n">
        <v>17.16092472094848</v>
      </c>
      <c r="U46" t="n">
        <v>0.04637278423369419</v>
      </c>
      <c r="V46" t="n">
        <v>6.146329257668897</v>
      </c>
      <c r="W46" t="n">
        <v>18.98272921622466</v>
      </c>
      <c r="X46" t="n">
        <v>15.16573541565011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PARAMETERS:</t>
        </is>
      </c>
    </row>
    <row r="2">
      <c r="A2" t="inlineStr">
        <is>
          <t>Target UPE: Italy</t>
        </is>
      </c>
    </row>
    <row r="3">
      <c r="A3" t="inlineStr">
        <is>
          <t>Target Jurisdiction: All</t>
        </is>
      </c>
    </row>
    <row r="4">
      <c r="A4" t="inlineStr">
        <is>
          <t>Target Sector: Utilities</t>
        </is>
      </c>
    </row>
    <row r="5">
      <c r="A5" t="inlineStr">
        <is>
          <t>------------------------------</t>
        </is>
      </c>
    </row>
    <row r="6">
      <c r="A6" t="inlineStr"/>
    </row>
    <row r="7">
      <c r="A7" t="inlineStr">
        <is>
          <t>*** RESULTS: ACCRUED TAX ***</t>
        </is>
      </c>
    </row>
    <row r="8">
      <c r="A8" t="inlineStr"/>
    </row>
    <row r="9">
      <c r="A9" t="inlineStr"/>
    </row>
    <row r="10">
      <c r="A10" t="inlineStr">
        <is>
          <t>--------------------</t>
        </is>
      </c>
    </row>
    <row r="11">
      <c r="A11" t="inlineStr">
        <is>
          <t>Accrued Base 1 (Linear)</t>
        </is>
      </c>
    </row>
    <row r="12">
      <c r="A12" t="inlineStr">
        <is>
          <t>--------------------</t>
        </is>
      </c>
    </row>
    <row r="13">
      <c r="A13" t="inlineStr">
        <is>
          <t xml:space="preserve">                            OLS Regression Results                            </t>
        </is>
      </c>
    </row>
    <row r="14">
      <c r="A14">
        <f>=============================================================================</f>
        <v/>
      </c>
    </row>
    <row r="15">
      <c r="A15" t="inlineStr">
        <is>
          <t>Dep. Variable:             ln_profits   R-squared:                       0.063</t>
        </is>
      </c>
    </row>
    <row r="16">
      <c r="A16" t="inlineStr">
        <is>
          <t>Model:                            OLS   Adj. R-squared:                  0.048</t>
        </is>
      </c>
    </row>
    <row r="17">
      <c r="A17" t="inlineStr">
        <is>
          <t>Method:                 Least Squares   F-statistic:                     4.349</t>
        </is>
      </c>
    </row>
    <row r="18">
      <c r="A18" t="inlineStr">
        <is>
          <t>Date:                Fri, 12 Dec 2025   Prob (F-statistic):             0.0410</t>
        </is>
      </c>
    </row>
    <row r="19">
      <c r="A19" t="inlineStr">
        <is>
          <t>Time:                        08:44:30   Log-Likelihood:                -155.30</t>
        </is>
      </c>
    </row>
    <row r="20">
      <c r="A20" t="inlineStr">
        <is>
          <t>No. Observations:                  67   AIC:                             314.6</t>
        </is>
      </c>
    </row>
    <row r="21">
      <c r="A21" t="inlineStr">
        <is>
          <t>Df Residuals:                      65   BIC:                             319.0</t>
        </is>
      </c>
    </row>
    <row r="22">
      <c r="A22" t="inlineStr">
        <is>
          <t xml:space="preserve">Df Model:                           1                                         </t>
        </is>
      </c>
    </row>
    <row r="23">
      <c r="A23" t="inlineStr">
        <is>
          <t xml:space="preserve">Covariance Type:            nonrobust                                         </t>
        </is>
      </c>
    </row>
    <row r="24">
      <c r="A24">
        <f>=============================================================================</f>
        <v/>
      </c>
    </row>
    <row r="25">
      <c r="A25" t="inlineStr">
        <is>
          <t xml:space="preserve">                 coef    std err          t      P&gt;|t|      [0.025      0.975]</t>
        </is>
      </c>
    </row>
    <row r="26">
      <c r="A26" t="inlineStr">
        <is>
          <t>------------------------------------------------------------------------------</t>
        </is>
      </c>
    </row>
    <row r="27">
      <c r="A27" t="inlineStr">
        <is>
          <t>Intercept     16.0152      0.500     32.053      0.000      15.017      17.013</t>
        </is>
      </c>
    </row>
    <row r="28">
      <c r="A28" t="inlineStr">
        <is>
          <t>ETR            3.7085      1.778      2.085      0.041       0.157       7.260</t>
        </is>
      </c>
    </row>
    <row r="29">
      <c r="A29">
        <f>=============================================================================</f>
        <v/>
      </c>
    </row>
    <row r="30">
      <c r="A30" t="inlineStr">
        <is>
          <t>Omnibus:                        0.484   Durbin-Watson:                   1.428</t>
        </is>
      </c>
    </row>
    <row r="31">
      <c r="A31" t="inlineStr">
        <is>
          <t>Prob(Omnibus):                  0.785   Jarque-Bera (JB):                0.432</t>
        </is>
      </c>
    </row>
    <row r="32">
      <c r="A32" t="inlineStr">
        <is>
          <t>Skew:                          -0.188   Prob(JB):                        0.806</t>
        </is>
      </c>
    </row>
    <row r="33">
      <c r="A33" t="inlineStr">
        <is>
          <t>Kurtosis:                       2.883   Cond. No.                         6.13</t>
        </is>
      </c>
    </row>
    <row r="34">
      <c r="A34">
        <f>=============================================================================</f>
        <v/>
      </c>
    </row>
    <row r="35">
      <c r="A35" t="inlineStr"/>
    </row>
    <row r="36">
      <c r="A36" t="inlineStr">
        <is>
          <t>Notes:</t>
        </is>
      </c>
    </row>
    <row r="37">
      <c r="A37" t="inlineStr">
        <is>
          <t>[1] Standard Errors assume that the covariance matrix of the errors is correctly specified.</t>
        </is>
      </c>
    </row>
    <row r="38">
      <c r="A38" t="inlineStr"/>
    </row>
    <row r="39">
      <c r="A39" t="inlineStr"/>
    </row>
    <row r="40">
      <c r="A40" t="inlineStr">
        <is>
          <t>--------------------</t>
        </is>
      </c>
    </row>
    <row r="41">
      <c r="A41" t="inlineStr">
        <is>
          <t>Accrued Base 1 (Non-Linear)</t>
        </is>
      </c>
    </row>
    <row r="42">
      <c r="A42" t="inlineStr">
        <is>
          <t>--------------------</t>
        </is>
      </c>
    </row>
    <row r="43">
      <c r="A43" t="inlineStr">
        <is>
          <t xml:space="preserve">                            OLS Regression Results                            </t>
        </is>
      </c>
    </row>
    <row r="44">
      <c r="A44">
        <f>=============================================================================</f>
        <v/>
      </c>
    </row>
    <row r="45">
      <c r="A45" t="inlineStr">
        <is>
          <t>Dep. Variable:             ln_profits   R-squared:                       0.109</t>
        </is>
      </c>
    </row>
    <row r="46">
      <c r="A46" t="inlineStr">
        <is>
          <t>Model:                            OLS   Adj. R-squared:                  0.081</t>
        </is>
      </c>
    </row>
    <row r="47">
      <c r="A47" t="inlineStr">
        <is>
          <t>Method:                 Least Squares   F-statistic:                     3.915</t>
        </is>
      </c>
    </row>
    <row r="48">
      <c r="A48" t="inlineStr">
        <is>
          <t>Date:                Fri, 12 Dec 2025   Prob (F-statistic):             0.0249</t>
        </is>
      </c>
    </row>
    <row r="49">
      <c r="A49" t="inlineStr">
        <is>
          <t>Time:                        08:44:30   Log-Likelihood:                -153.60</t>
        </is>
      </c>
    </row>
    <row r="50">
      <c r="A50" t="inlineStr">
        <is>
          <t>No. Observations:                  67   AIC:                             313.2</t>
        </is>
      </c>
    </row>
    <row r="51">
      <c r="A51" t="inlineStr">
        <is>
          <t>Df Residuals:                      64   BIC:                             319.8</t>
        </is>
      </c>
    </row>
    <row r="52">
      <c r="A52" t="inlineStr">
        <is>
          <t xml:space="preserve">Df Model:                           2                                         </t>
        </is>
      </c>
    </row>
    <row r="53">
      <c r="A53" t="inlineStr">
        <is>
          <t xml:space="preserve">Covariance Type:            nonrobust                                         </t>
        </is>
      </c>
    </row>
    <row r="54">
      <c r="A54">
        <f>=============================================================================</f>
        <v/>
      </c>
    </row>
    <row r="55">
      <c r="A55" t="inlineStr">
        <is>
          <t xml:space="preserve">                 coef    std err          t      P&gt;|t|      [0.025      0.975]</t>
        </is>
      </c>
    </row>
    <row r="56">
      <c r="A56" t="inlineStr">
        <is>
          <t>------------------------------------------------------------------------------</t>
        </is>
      </c>
    </row>
    <row r="57">
      <c r="A57" t="inlineStr">
        <is>
          <t>Intercept     15.2934      0.631     24.250      0.000      14.034      16.553</t>
        </is>
      </c>
    </row>
    <row r="58">
      <c r="A58" t="inlineStr">
        <is>
          <t>ETR           11.9569      4.849      2.466      0.016       2.270      21.644</t>
        </is>
      </c>
    </row>
    <row r="59">
      <c r="A59" t="inlineStr">
        <is>
          <t>ETR_sq       -14.1211      7.744     -1.824      0.073     -29.591       1.349</t>
        </is>
      </c>
    </row>
    <row r="60">
      <c r="A60">
        <f>=============================================================================</f>
        <v/>
      </c>
    </row>
    <row r="61">
      <c r="A61" t="inlineStr">
        <is>
          <t>Omnibus:                        0.495   Durbin-Watson:                   1.346</t>
        </is>
      </c>
    </row>
    <row r="62">
      <c r="A62" t="inlineStr">
        <is>
          <t>Prob(Omnibus):                  0.781   Jarque-Bera (JB):                0.197</t>
        </is>
      </c>
    </row>
    <row r="63">
      <c r="A63" t="inlineStr">
        <is>
          <t>Skew:                          -0.125   Prob(JB):                        0.906</t>
        </is>
      </c>
    </row>
    <row r="64">
      <c r="A64" t="inlineStr">
        <is>
          <t>Kurtosis:                       3.089   Cond. No.                         31.0</t>
        </is>
      </c>
    </row>
    <row r="65">
      <c r="A65">
        <f>=============================================================================</f>
        <v/>
      </c>
    </row>
    <row r="66">
      <c r="A66" t="inlineStr"/>
    </row>
    <row r="67">
      <c r="A67" t="inlineStr">
        <is>
          <t>Notes:</t>
        </is>
      </c>
    </row>
    <row r="68">
      <c r="A68" t="inlineStr">
        <is>
          <t>[1] Standard Errors assume that the covariance matrix of the errors is correctly specified.</t>
        </is>
      </c>
    </row>
    <row r="69">
      <c r="A69" t="inlineStr"/>
    </row>
    <row r="70">
      <c r="A70" t="inlineStr">
        <is>
          <t>&gt;&gt; U-TEST RESULTS:</t>
        </is>
      </c>
    </row>
    <row r="71">
      <c r="A71" t="inlineStr">
        <is>
          <t xml:space="preserve">   Coeff ETR (Linear): 11.9569</t>
        </is>
      </c>
    </row>
    <row r="72">
      <c r="A72" t="inlineStr">
        <is>
          <t xml:space="preserve">   Coeff ETR^2 (Quad): -14.1211</t>
        </is>
      </c>
    </row>
    <row r="73">
      <c r="A73" t="inlineStr">
        <is>
          <t xml:space="preserve">   Turning Point: 42.3370%</t>
        </is>
      </c>
    </row>
    <row r="74">
      <c r="A74" t="inlineStr">
        <is>
          <t xml:space="preserve">   In Range [0.00%, 74.07%]? YES</t>
        </is>
      </c>
    </row>
    <row r="75">
      <c r="A75" t="inlineStr"/>
    </row>
    <row r="76">
      <c r="A76" t="inlineStr"/>
    </row>
    <row r="77">
      <c r="A77" t="inlineStr">
        <is>
          <t>--------------------</t>
        </is>
      </c>
    </row>
    <row r="78">
      <c r="A78" t="inlineStr">
        <is>
          <t>Accrued Base 2 (Controls)</t>
        </is>
      </c>
    </row>
    <row r="79">
      <c r="A79" t="inlineStr">
        <is>
          <t>--------------------</t>
        </is>
      </c>
    </row>
    <row r="80">
      <c r="A80" t="inlineStr">
        <is>
          <t xml:space="preserve">                            OLS Regression Results                            </t>
        </is>
      </c>
    </row>
    <row r="81">
      <c r="A81">
        <f>=============================================================================</f>
        <v/>
      </c>
    </row>
    <row r="82">
      <c r="A82" t="inlineStr">
        <is>
          <t>Dep. Variable:             ln_profits   R-squared:                       0.776</t>
        </is>
      </c>
    </row>
    <row r="83">
      <c r="A83" t="inlineStr">
        <is>
          <t>Model:                            OLS   Adj. R-squared:                  0.746</t>
        </is>
      </c>
    </row>
    <row r="84">
      <c r="A84" t="inlineStr">
        <is>
          <t>Method:                 Least Squares   F-statistic:                     25.70</t>
        </is>
      </c>
    </row>
    <row r="85">
      <c r="A85" t="inlineStr">
        <is>
          <t>Date:                Fri, 12 Dec 2025   Prob (F-statistic):           4.25e-11</t>
        </is>
      </c>
    </row>
    <row r="86">
      <c r="A86" t="inlineStr">
        <is>
          <t>Time:                        08:44:30   Log-Likelihood:                -63.184</t>
        </is>
      </c>
    </row>
    <row r="87">
      <c r="A87" t="inlineStr">
        <is>
          <t>No. Observations:                  43   AIC:                             138.4</t>
        </is>
      </c>
    </row>
    <row r="88">
      <c r="A88" t="inlineStr">
        <is>
          <t>Df Residuals:                      37   BIC:                             148.9</t>
        </is>
      </c>
    </row>
    <row r="89">
      <c r="A89" t="inlineStr">
        <is>
          <t xml:space="preserve">Df Model:                           5                                         </t>
        </is>
      </c>
    </row>
    <row r="90">
      <c r="A90" t="inlineStr">
        <is>
          <t xml:space="preserve">Covariance Type:            nonrobust                                         </t>
        </is>
      </c>
    </row>
    <row r="91">
      <c r="A91">
        <f>======================================================================================</f>
        <v/>
      </c>
    </row>
    <row r="92">
      <c r="A92" t="inlineStr">
        <is>
          <t xml:space="preserve">                          coef    std err          t      P&gt;|t|      [0.025      0.975]</t>
        </is>
      </c>
    </row>
    <row r="93">
      <c r="A93" t="inlineStr">
        <is>
          <t>---------------------------------------------------------------------------------------</t>
        </is>
      </c>
    </row>
    <row r="94">
      <c r="A94" t="inlineStr">
        <is>
          <t>Intercept               7.4360      1.548      4.804      0.000       4.300      10.572</t>
        </is>
      </c>
    </row>
    <row r="95">
      <c r="A95" t="inlineStr">
        <is>
          <t>ETR                     5.8087      3.066      1.895      0.066      -0.403      12.020</t>
        </is>
      </c>
    </row>
    <row r="96">
      <c r="A96" t="inlineStr">
        <is>
          <t>ETR_sq                -11.2651      5.283     -2.132      0.040     -21.970      -0.561</t>
        </is>
      </c>
    </row>
    <row r="97">
      <c r="A97" t="inlineStr">
        <is>
          <t>ln_employees            0.3719      0.143      2.605      0.013       0.083       0.661</t>
        </is>
      </c>
    </row>
    <row r="98">
      <c r="A98" t="inlineStr">
        <is>
          <t>ln_tangible_assets      0.1760      0.088      2.008      0.052      -0.002       0.354</t>
        </is>
      </c>
    </row>
    <row r="99">
      <c r="A99" t="inlineStr">
        <is>
          <t>ln_related_revenues     0.2688      0.073      3.686      0.001       0.121       0.417</t>
        </is>
      </c>
    </row>
    <row r="100">
      <c r="A100">
        <f>=============================================================================</f>
        <v/>
      </c>
    </row>
    <row r="101">
      <c r="A101" t="inlineStr">
        <is>
          <t>Omnibus:                        0.217   Durbin-Watson:                   2.167</t>
        </is>
      </c>
    </row>
    <row r="102">
      <c r="A102" t="inlineStr">
        <is>
          <t>Prob(Omnibus):                  0.897   Jarque-Bera (JB):                0.002</t>
        </is>
      </c>
    </row>
    <row r="103">
      <c r="A103" t="inlineStr">
        <is>
          <t>Skew:                           0.018   Prob(JB):                        0.999</t>
        </is>
      </c>
    </row>
    <row r="104">
      <c r="A104" t="inlineStr">
        <is>
          <t>Kurtosis:                       3.010   Cond. No.                         893.</t>
        </is>
      </c>
    </row>
    <row r="105">
      <c r="A105">
        <f>=============================================================================</f>
        <v/>
      </c>
    </row>
    <row r="106">
      <c r="A106" t="inlineStr"/>
    </row>
    <row r="107">
      <c r="A107" t="inlineStr">
        <is>
          <t>Notes:</t>
        </is>
      </c>
    </row>
    <row r="108">
      <c r="A108" t="inlineStr">
        <is>
          <t>[1] Standard Errors assume that the covariance matrix of the errors is correctly specified.</t>
        </is>
      </c>
    </row>
    <row r="109">
      <c r="A109" t="inlineStr"/>
    </row>
    <row r="110">
      <c r="A110" t="inlineStr">
        <is>
          <t>&gt;&gt; U-TEST RESULTS:</t>
        </is>
      </c>
    </row>
    <row r="111">
      <c r="A111" t="inlineStr">
        <is>
          <t xml:space="preserve">   Coeff ETR (Linear): 5.8087</t>
        </is>
      </c>
    </row>
    <row r="112">
      <c r="A112" t="inlineStr">
        <is>
          <t xml:space="preserve">   Coeff ETR^2 (Quad): -11.2651</t>
        </is>
      </c>
    </row>
    <row r="113">
      <c r="A113" t="inlineStr">
        <is>
          <t xml:space="preserve">   Turning Point: 25.7819%</t>
        </is>
      </c>
    </row>
    <row r="114">
      <c r="A114" t="inlineStr">
        <is>
          <t xml:space="preserve">   In Range [0.00%, 67.72%]? YES</t>
        </is>
      </c>
    </row>
    <row r="115">
      <c r="A115" t="inlineStr"/>
    </row>
    <row r="116">
      <c r="A116" t="inlineStr">
        <is>
          <t>*** RESULTS: PAID TAX ***</t>
        </is>
      </c>
    </row>
    <row r="117">
      <c r="A117" t="inlineStr"/>
    </row>
    <row r="118">
      <c r="A118" t="inlineStr"/>
    </row>
    <row r="119">
      <c r="A119" t="inlineStr">
        <is>
          <t>--------------------</t>
        </is>
      </c>
    </row>
    <row r="120">
      <c r="A120" t="inlineStr">
        <is>
          <t>Paid Base 1 (Linear)</t>
        </is>
      </c>
    </row>
    <row r="121">
      <c r="A121" t="inlineStr">
        <is>
          <t>--------------------</t>
        </is>
      </c>
    </row>
    <row r="122">
      <c r="A122" t="inlineStr">
        <is>
          <t xml:space="preserve">                            OLS Regression Results                            </t>
        </is>
      </c>
    </row>
    <row r="123">
      <c r="A123">
        <f>=============================================================================</f>
        <v/>
      </c>
    </row>
    <row r="124">
      <c r="A124" t="inlineStr">
        <is>
          <t>Dep. Variable:             ln_profits   R-squared:                       0.100</t>
        </is>
      </c>
    </row>
    <row r="125">
      <c r="A125" t="inlineStr">
        <is>
          <t>Model:                            OLS   Adj. R-squared:                  0.090</t>
        </is>
      </c>
    </row>
    <row r="126">
      <c r="A126" t="inlineStr">
        <is>
          <t>Method:                 Least Squares   F-statistic:                     9.972</t>
        </is>
      </c>
    </row>
    <row r="127">
      <c r="A127" t="inlineStr">
        <is>
          <t>Date:                Fri, 12 Dec 2025   Prob (F-statistic):            0.00216</t>
        </is>
      </c>
    </row>
    <row r="128">
      <c r="A128" t="inlineStr">
        <is>
          <t>Time:                        08:44:30   Log-Likelihood:                -211.06</t>
        </is>
      </c>
    </row>
    <row r="129">
      <c r="A129" t="inlineStr">
        <is>
          <t>No. Observations:                  92   AIC:                             426.1</t>
        </is>
      </c>
    </row>
    <row r="130">
      <c r="A130" t="inlineStr">
        <is>
          <t>Df Residuals:                      90   BIC:                             431.2</t>
        </is>
      </c>
    </row>
    <row r="131">
      <c r="A131" t="inlineStr">
        <is>
          <t xml:space="preserve">Df Model:                           1                                         </t>
        </is>
      </c>
    </row>
    <row r="132">
      <c r="A132" t="inlineStr">
        <is>
          <t xml:space="preserve">Covariance Type:            nonrobust                                         </t>
        </is>
      </c>
    </row>
    <row r="133">
      <c r="A133">
        <f>=============================================================================</f>
        <v/>
      </c>
    </row>
    <row r="134">
      <c r="A134" t="inlineStr">
        <is>
          <t xml:space="preserve">                 coef    std err          t      P&gt;|t|      [0.025      0.975]</t>
        </is>
      </c>
    </row>
    <row r="135">
      <c r="A135" t="inlineStr">
        <is>
          <t>------------------------------------------------------------------------------</t>
        </is>
      </c>
    </row>
    <row r="136">
      <c r="A136" t="inlineStr">
        <is>
          <t>Intercept     16.7540      0.401     41.785      0.000      15.957      17.551</t>
        </is>
      </c>
    </row>
    <row r="137">
      <c r="A137" t="inlineStr">
        <is>
          <t>ETR            4.8666      1.541      3.158      0.002       1.805       7.928</t>
        </is>
      </c>
    </row>
    <row r="138">
      <c r="A138">
        <f>=============================================================================</f>
        <v/>
      </c>
    </row>
    <row r="139">
      <c r="A139" t="inlineStr">
        <is>
          <t>Omnibus:                        8.800   Durbin-Watson:                   1.292</t>
        </is>
      </c>
    </row>
    <row r="140">
      <c r="A140" t="inlineStr">
        <is>
          <t>Prob(Omnibus):                  0.012   Jarque-Bera (JB):                8.478</t>
        </is>
      </c>
    </row>
    <row r="141">
      <c r="A141" t="inlineStr">
        <is>
          <t>Skew:                          -0.669   Prob(JB):                       0.0144</t>
        </is>
      </c>
    </row>
    <row r="142">
      <c r="A142" t="inlineStr">
        <is>
          <t>Kurtosis:                       3.650   Cond. No.                         6.35</t>
        </is>
      </c>
    </row>
    <row r="143">
      <c r="A143">
        <f>=============================================================================</f>
        <v/>
      </c>
    </row>
    <row r="144">
      <c r="A144" t="inlineStr"/>
    </row>
    <row r="145">
      <c r="A145" t="inlineStr">
        <is>
          <t>Notes:</t>
        </is>
      </c>
    </row>
    <row r="146">
      <c r="A146" t="inlineStr">
        <is>
          <t>[1] Standard Errors assume that the covariance matrix of the errors is correctly specified.</t>
        </is>
      </c>
    </row>
    <row r="147">
      <c r="A147" t="inlineStr"/>
    </row>
    <row r="148">
      <c r="A148" t="inlineStr"/>
    </row>
    <row r="149">
      <c r="A149" t="inlineStr">
        <is>
          <t>--------------------</t>
        </is>
      </c>
    </row>
    <row r="150">
      <c r="A150" t="inlineStr">
        <is>
          <t>Paid Base 1 (Non-Linear)</t>
        </is>
      </c>
    </row>
    <row r="151">
      <c r="A151" t="inlineStr">
        <is>
          <t>--------------------</t>
        </is>
      </c>
    </row>
    <row r="152">
      <c r="A152" t="inlineStr">
        <is>
          <t xml:space="preserve">                            OLS Regression Results                            </t>
        </is>
      </c>
    </row>
    <row r="153">
      <c r="A153">
        <f>=============================================================================</f>
        <v/>
      </c>
    </row>
    <row r="154">
      <c r="A154" t="inlineStr">
        <is>
          <t>Dep. Variable:             ln_profits   R-squared:                       0.264</t>
        </is>
      </c>
    </row>
    <row r="155">
      <c r="A155" t="inlineStr">
        <is>
          <t>Model:                            OLS   Adj. R-squared:                  0.248</t>
        </is>
      </c>
    </row>
    <row r="156">
      <c r="A156" t="inlineStr">
        <is>
          <t>Method:                 Least Squares   F-statistic:                     15.98</t>
        </is>
      </c>
    </row>
    <row r="157">
      <c r="A157" t="inlineStr">
        <is>
          <t>Date:                Fri, 12 Dec 2025   Prob (F-statistic):           1.18e-06</t>
        </is>
      </c>
    </row>
    <row r="158">
      <c r="A158" t="inlineStr">
        <is>
          <t>Time:                        08:44:30   Log-Likelihood:                -201.78</t>
        </is>
      </c>
    </row>
    <row r="159">
      <c r="A159" t="inlineStr">
        <is>
          <t>No. Observations:                  92   AIC:                             409.6</t>
        </is>
      </c>
    </row>
    <row r="160">
      <c r="A160" t="inlineStr">
        <is>
          <t>Df Residuals:                      89   BIC:                             417.1</t>
        </is>
      </c>
    </row>
    <row r="161">
      <c r="A161" t="inlineStr">
        <is>
          <t xml:space="preserve">Df Model:                           2                                         </t>
        </is>
      </c>
    </row>
    <row r="162">
      <c r="A162" t="inlineStr">
        <is>
          <t xml:space="preserve">Covariance Type:            nonrobust                                         </t>
        </is>
      </c>
    </row>
    <row r="163">
      <c r="A163">
        <f>=============================================================================</f>
        <v/>
      </c>
    </row>
    <row r="164">
      <c r="A164" t="inlineStr">
        <is>
          <t xml:space="preserve">                 coef    std err          t      P&gt;|t|      [0.025      0.975]</t>
        </is>
      </c>
    </row>
    <row r="165">
      <c r="A165" t="inlineStr">
        <is>
          <t>------------------------------------------------------------------------------</t>
        </is>
      </c>
    </row>
    <row r="166">
      <c r="A166" t="inlineStr">
        <is>
          <t>Intercept     15.5743      0.450     34.580      0.000      14.679      16.469</t>
        </is>
      </c>
    </row>
    <row r="167">
      <c r="A167" t="inlineStr">
        <is>
          <t>ETR           20.2283      3.719      5.440      0.000      12.839      27.617</t>
        </is>
      </c>
    </row>
    <row r="168">
      <c r="A168" t="inlineStr">
        <is>
          <t>ETR_sq       -28.3887      6.366     -4.460      0.000     -41.037     -15.740</t>
        </is>
      </c>
    </row>
    <row r="169">
      <c r="A169">
        <f>=============================================================================</f>
        <v/>
      </c>
    </row>
    <row r="170">
      <c r="A170" t="inlineStr">
        <is>
          <t>Omnibus:                        2.366   Durbin-Watson:                   1.315</t>
        </is>
      </c>
    </row>
    <row r="171">
      <c r="A171" t="inlineStr">
        <is>
          <t>Prob(Omnibus):                  0.306   Jarque-Bera (JB):                1.800</t>
        </is>
      </c>
    </row>
    <row r="172">
      <c r="A172" t="inlineStr">
        <is>
          <t>Skew:                          -0.322   Prob(JB):                        0.407</t>
        </is>
      </c>
    </row>
    <row r="173">
      <c r="A173" t="inlineStr">
        <is>
          <t>Kurtosis:                       3.232   Cond. No.                         32.4</t>
        </is>
      </c>
    </row>
    <row r="174">
      <c r="A174">
        <f>=============================================================================</f>
        <v/>
      </c>
    </row>
    <row r="175">
      <c r="A175" t="inlineStr"/>
    </row>
    <row r="176">
      <c r="A176" t="inlineStr">
        <is>
          <t>Notes:</t>
        </is>
      </c>
    </row>
    <row r="177">
      <c r="A177" t="inlineStr">
        <is>
          <t>[1] Standard Errors assume that the covariance matrix of the errors is correctly specified.</t>
        </is>
      </c>
    </row>
    <row r="178">
      <c r="A178" t="inlineStr"/>
    </row>
    <row r="179">
      <c r="A179" t="inlineStr">
        <is>
          <t>&gt;&gt; U-TEST RESULTS:</t>
        </is>
      </c>
    </row>
    <row r="180">
      <c r="A180" t="inlineStr">
        <is>
          <t xml:space="preserve">   Coeff ETR (Linear): 20.2283</t>
        </is>
      </c>
    </row>
    <row r="181">
      <c r="A181" t="inlineStr">
        <is>
          <t xml:space="preserve">   Coeff ETR^2 (Quad): -28.3887</t>
        </is>
      </c>
    </row>
    <row r="182">
      <c r="A182" t="inlineStr">
        <is>
          <t xml:space="preserve">   Turning Point: 35.6273%</t>
        </is>
      </c>
    </row>
    <row r="183">
      <c r="A183" t="inlineStr">
        <is>
          <t xml:space="preserve">   In Range [0.00%, 75.00%]? YES</t>
        </is>
      </c>
    </row>
    <row r="184">
      <c r="A184" t="inlineStr"/>
    </row>
    <row r="185">
      <c r="A185" t="inlineStr"/>
    </row>
    <row r="186">
      <c r="A186" t="inlineStr">
        <is>
          <t>--------------------</t>
        </is>
      </c>
    </row>
    <row r="187">
      <c r="A187" t="inlineStr">
        <is>
          <t>Paid Base 2 (Controls)</t>
        </is>
      </c>
    </row>
    <row r="188">
      <c r="A188" t="inlineStr">
        <is>
          <t>--------------------</t>
        </is>
      </c>
    </row>
    <row r="189">
      <c r="A189" t="inlineStr">
        <is>
          <t xml:space="preserve">                            OLS Regression Results                            </t>
        </is>
      </c>
    </row>
    <row r="190">
      <c r="A190">
        <f>=============================================================================</f>
        <v/>
      </c>
    </row>
    <row r="191">
      <c r="A191" t="inlineStr">
        <is>
          <t>Dep. Variable:             ln_profits   R-squared:                       0.816</t>
        </is>
      </c>
    </row>
    <row r="192">
      <c r="A192" t="inlineStr">
        <is>
          <t>Model:                            OLS   Adj. R-squared:                  0.793</t>
        </is>
      </c>
    </row>
    <row r="193">
      <c r="A193" t="inlineStr">
        <is>
          <t>Method:                 Least Squares   F-statistic:                     34.65</t>
        </is>
      </c>
    </row>
    <row r="194">
      <c r="A194" t="inlineStr">
        <is>
          <t>Date:                Fri, 12 Dec 2025   Prob (F-statistic):           2.40e-13</t>
        </is>
      </c>
    </row>
    <row r="195">
      <c r="A195" t="inlineStr">
        <is>
          <t>Time:                        08:44:30   Log-Likelihood:                -62.883</t>
        </is>
      </c>
    </row>
    <row r="196">
      <c r="A196" t="inlineStr">
        <is>
          <t>No. Observations:                  45   AIC:                             137.8</t>
        </is>
      </c>
    </row>
    <row r="197">
      <c r="A197" t="inlineStr">
        <is>
          <t>Df Residuals:                      39   BIC:                             148.6</t>
        </is>
      </c>
    </row>
    <row r="198">
      <c r="A198" t="inlineStr">
        <is>
          <t xml:space="preserve">Df Model:                           5                                         </t>
        </is>
      </c>
    </row>
    <row r="199">
      <c r="A199" t="inlineStr">
        <is>
          <t xml:space="preserve">Covariance Type:            nonrobust                                         </t>
        </is>
      </c>
    </row>
    <row r="200">
      <c r="A200">
        <f>======================================================================================</f>
        <v/>
      </c>
    </row>
    <row r="201">
      <c r="A201" t="inlineStr">
        <is>
          <t xml:space="preserve">                          coef    std err          t      P&gt;|t|      [0.025      0.975]</t>
        </is>
      </c>
    </row>
    <row r="202">
      <c r="A202" t="inlineStr">
        <is>
          <t>---------------------------------------------------------------------------------------</t>
        </is>
      </c>
    </row>
    <row r="203">
      <c r="A203" t="inlineStr">
        <is>
          <t>Intercept               6.2848      1.414      4.445      0.000       3.425       9.145</t>
        </is>
      </c>
    </row>
    <row r="204">
      <c r="A204" t="inlineStr">
        <is>
          <t>ETR                     8.1596      2.631      3.101      0.004       2.837      13.482</t>
        </is>
      </c>
    </row>
    <row r="205">
      <c r="A205" t="inlineStr">
        <is>
          <t>ETR_sq                -12.4209      3.990     -3.113      0.003     -20.491      -4.351</t>
        </is>
      </c>
    </row>
    <row r="206">
      <c r="A206" t="inlineStr">
        <is>
          <t>ln_employees            0.2338      0.130      1.798      0.080      -0.029       0.497</t>
        </is>
      </c>
    </row>
    <row r="207">
      <c r="A207" t="inlineStr">
        <is>
          <t>ln_tangible_assets      0.2322      0.078      2.981      0.005       0.075       0.390</t>
        </is>
      </c>
    </row>
    <row r="208">
      <c r="A208" t="inlineStr">
        <is>
          <t>ln_related_revenues     0.3018      0.067      4.474      0.000       0.165       0.438</t>
        </is>
      </c>
    </row>
    <row r="209">
      <c r="A209">
        <f>=============================================================================</f>
        <v/>
      </c>
    </row>
    <row r="210">
      <c r="A210" t="inlineStr">
        <is>
          <t>Omnibus:                        0.335   Durbin-Watson:                   2.112</t>
        </is>
      </c>
    </row>
    <row r="211">
      <c r="A211" t="inlineStr">
        <is>
          <t>Prob(Omnibus):                  0.846   Jarque-Bera (JB):                0.399</t>
        </is>
      </c>
    </row>
    <row r="212">
      <c r="A212" t="inlineStr">
        <is>
          <t>Skew:                           0.189   Prob(JB):                        0.819</t>
        </is>
      </c>
    </row>
    <row r="213">
      <c r="A213" t="inlineStr">
        <is>
          <t>Kurtosis:                       2.735   Cond. No.                         768.</t>
        </is>
      </c>
    </row>
    <row r="214">
      <c r="A214">
        <f>=============================================================================</f>
        <v/>
      </c>
    </row>
    <row r="215">
      <c r="A215" t="inlineStr"/>
    </row>
    <row r="216">
      <c r="A216" t="inlineStr">
        <is>
          <t>Notes:</t>
        </is>
      </c>
    </row>
    <row r="217">
      <c r="A217" t="inlineStr">
        <is>
          <t>[1] Standard Errors assume that the covariance matrix of the errors is correctly specified.</t>
        </is>
      </c>
    </row>
    <row r="218">
      <c r="A218" t="inlineStr"/>
    </row>
    <row r="219">
      <c r="A219" t="inlineStr">
        <is>
          <t>&gt;&gt; U-TEST RESULTS:</t>
        </is>
      </c>
    </row>
    <row r="220">
      <c r="A220" t="inlineStr">
        <is>
          <t xml:space="preserve">   Coeff ETR (Linear): 8.1596</t>
        </is>
      </c>
    </row>
    <row r="221">
      <c r="A221" t="inlineStr">
        <is>
          <t xml:space="preserve">   Coeff ETR^2 (Quad): -12.4209</t>
        </is>
      </c>
    </row>
    <row r="222">
      <c r="A222" t="inlineStr">
        <is>
          <t xml:space="preserve">   Turning Point: 32.8461%</t>
        </is>
      </c>
    </row>
    <row r="223">
      <c r="A223" t="inlineStr">
        <is>
          <t xml:space="preserve">   In Range [0.00%, 75.00%]?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2025-12-12T07:44:30Z</dcterms:created>
  <dcterms:modified xsi:type="dcterms:W3CDTF">2025-12-12T07:44:30Z</dcterms:modified>
</cp:coreProperties>
</file>